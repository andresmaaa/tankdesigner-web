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SERVIDOR ARTEIN GRUPO\ARTEIN\Ingenieria\Plantillas\Documentos\"/>
    </mc:Choice>
  </mc:AlternateContent>
  <xr:revisionPtr revIDLastSave="0" documentId="13_ncr:1_{F5067797-A0D8-457E-A9B1-1EB24501F4B9}" xr6:coauthVersionLast="45" xr6:coauthVersionMax="45" xr10:uidLastSave="{00000000-0000-0000-0000-000000000000}"/>
  <bookViews>
    <workbookView xWindow="-93" yWindow="-93" windowWidth="25786" windowHeight="13986" tabRatio="599" xr2:uid="{00000000-000D-0000-FFFF-FFFF00000000}"/>
  </bookViews>
  <sheets>
    <sheet name="Hoja1" sheetId="33" r:id="rId1"/>
    <sheet name="Hoja2" sheetId="41" r:id="rId2"/>
  </sheets>
  <externalReferences>
    <externalReference r:id="rId3"/>
    <externalReference r:id="rId4"/>
  </externalReferences>
  <definedNames>
    <definedName name="_xlnm._FilterDatabase" localSheetId="0" hidden="1">Hoja1!$A$9:$CA$11</definedName>
    <definedName name="A106GRB">#REF!</definedName>
    <definedName name="A312TP304">#REF!</definedName>
    <definedName name="A312TP316">#REF!</definedName>
    <definedName name="A312TP321">#REF!</definedName>
    <definedName name="A335P11">#REF!</definedName>
    <definedName name="A335P91">#REF!</definedName>
    <definedName name="_xlnm.Print_Area" localSheetId="0">Hoja1!$A$1:$T$73</definedName>
    <definedName name="espec">#REF!</definedName>
    <definedName name="TIPOVALVULAS">'[1]L-VALV'!#REF!</definedName>
    <definedName name="tipovalvulas2">'[2]L-VALV'!#REF!</definedName>
    <definedName name="_xlnm.Print_Titles" localSheetId="0">Hoja1!$1:$19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33" i="33" l="1"/>
  <c r="B33" i="33"/>
  <c r="A33" i="33"/>
  <c r="G33" i="33" s="1"/>
  <c r="B73" i="33" l="1"/>
  <c r="B72" i="33"/>
  <c r="B61" i="33"/>
  <c r="B62" i="33"/>
  <c r="B63" i="33"/>
  <c r="B64" i="33"/>
  <c r="B65" i="33"/>
  <c r="B66" i="33"/>
  <c r="B67" i="33"/>
  <c r="B68" i="33"/>
  <c r="B69" i="33"/>
  <c r="B70" i="33"/>
  <c r="B60" i="33"/>
  <c r="B48" i="33"/>
  <c r="B49" i="33"/>
  <c r="B50" i="33"/>
  <c r="B51" i="33"/>
  <c r="B52" i="33"/>
  <c r="B53" i="33"/>
  <c r="B54" i="33"/>
  <c r="B55" i="33"/>
  <c r="B56" i="33"/>
  <c r="B57" i="33"/>
  <c r="B47" i="33"/>
  <c r="B44" i="33"/>
  <c r="B41" i="33"/>
  <c r="B42" i="33"/>
  <c r="B40" i="33"/>
  <c r="B38" i="33"/>
  <c r="B37" i="33"/>
  <c r="B34" i="33"/>
  <c r="B35" i="33"/>
  <c r="B32" i="33"/>
  <c r="B25" i="33"/>
  <c r="B26" i="33"/>
  <c r="B27" i="33"/>
  <c r="B28" i="33"/>
  <c r="B29" i="33"/>
  <c r="B30" i="33"/>
  <c r="B24" i="33"/>
  <c r="B22" i="33"/>
  <c r="B16" i="33"/>
  <c r="B17" i="33"/>
  <c r="B18" i="33"/>
  <c r="B19" i="33"/>
  <c r="B15" i="33"/>
  <c r="A57" i="33" l="1"/>
  <c r="G57" i="33" s="1"/>
  <c r="A56" i="33"/>
  <c r="G56" i="33" s="1"/>
  <c r="A55" i="33"/>
  <c r="G55" i="33" s="1"/>
  <c r="A54" i="33"/>
  <c r="G54" i="33" s="1"/>
  <c r="A53" i="33"/>
  <c r="G53" i="33" s="1"/>
  <c r="A52" i="33"/>
  <c r="G52" i="33" s="1"/>
  <c r="A51" i="33"/>
  <c r="G51" i="33" s="1"/>
  <c r="A50" i="33"/>
  <c r="G50" i="33" s="1"/>
  <c r="A49" i="33"/>
  <c r="G49" i="33" s="1"/>
  <c r="A48" i="33"/>
  <c r="G48" i="33" s="1"/>
  <c r="A47" i="33"/>
  <c r="G47" i="33" s="1"/>
  <c r="A73" i="33" l="1"/>
  <c r="A72" i="33"/>
  <c r="A61" i="33"/>
  <c r="A62" i="33"/>
  <c r="A63" i="33"/>
  <c r="A64" i="33"/>
  <c r="A65" i="33"/>
  <c r="A66" i="33"/>
  <c r="A67" i="33"/>
  <c r="A68" i="33"/>
  <c r="A69" i="33"/>
  <c r="A70" i="33"/>
  <c r="A60" i="33"/>
  <c r="A44" i="33"/>
  <c r="A42" i="33"/>
  <c r="A41" i="33"/>
  <c r="A40" i="33"/>
  <c r="A38" i="33"/>
  <c r="A37" i="33"/>
  <c r="A34" i="33"/>
  <c r="A35" i="33"/>
  <c r="A32" i="33"/>
  <c r="A16" i="33"/>
  <c r="G16" i="33" s="1"/>
  <c r="A17" i="33"/>
  <c r="G17" i="33" s="1"/>
  <c r="A18" i="33"/>
  <c r="G18" i="33" s="1"/>
  <c r="A19" i="33"/>
  <c r="A15" i="33"/>
  <c r="A22" i="33"/>
  <c r="A25" i="33"/>
  <c r="A26" i="33"/>
  <c r="A27" i="33"/>
  <c r="A28" i="33"/>
  <c r="A29" i="33"/>
  <c r="A30" i="33"/>
  <c r="A24" i="33"/>
  <c r="G24" i="33" s="1"/>
  <c r="Q35" i="33" l="1"/>
  <c r="G35" i="33"/>
  <c r="Q32" i="33"/>
  <c r="G32" i="33"/>
  <c r="G29" i="33"/>
  <c r="Q38" i="33"/>
  <c r="G38" i="33"/>
  <c r="Q28" i="33"/>
  <c r="G28" i="33"/>
  <c r="G34" i="33" l="1"/>
  <c r="Q37" i="33" l="1"/>
  <c r="Q29" i="33"/>
  <c r="Q24" i="33"/>
  <c r="Q22" i="33" l="1"/>
  <c r="G22" i="33"/>
  <c r="G42" i="33" l="1"/>
  <c r="Q41" i="33"/>
  <c r="G41" i="33"/>
  <c r="Q40" i="33"/>
  <c r="G40" i="33"/>
  <c r="G69" i="33" l="1"/>
  <c r="Q34" i="33"/>
  <c r="Q27" i="33"/>
  <c r="Q26" i="33"/>
  <c r="Q25" i="33"/>
  <c r="Q42" i="33"/>
  <c r="G64" i="33"/>
  <c r="G65" i="33"/>
  <c r="G66" i="33"/>
  <c r="G61" i="33"/>
  <c r="G62" i="33"/>
  <c r="G63" i="33"/>
  <c r="G70" i="33"/>
  <c r="G68" i="33"/>
  <c r="G67" i="33"/>
  <c r="G25" i="33"/>
  <c r="G26" i="33"/>
  <c r="Q30" i="33" l="1"/>
  <c r="Q15" i="33"/>
  <c r="G73" i="33" l="1"/>
  <c r="G72" i="33"/>
  <c r="G60" i="33"/>
  <c r="G44" i="33"/>
  <c r="G37" i="33"/>
  <c r="G30" i="33"/>
  <c r="G27" i="33"/>
  <c r="G19" i="33"/>
  <c r="G15" i="33"/>
  <c r="Q3" i="33" l="1"/>
  <c r="M6" i="33" l="1"/>
</calcChain>
</file>

<file path=xl/sharedStrings.xml><?xml version="1.0" encoding="utf-8"?>
<sst xmlns="http://schemas.openxmlformats.org/spreadsheetml/2006/main" count="408" uniqueCount="148">
  <si>
    <t>REVISION</t>
  </si>
  <si>
    <t>DOCUMENT TITLE</t>
  </si>
  <si>
    <t>CODE</t>
  </si>
  <si>
    <t>Expected
Delivery date</t>
  </si>
  <si>
    <t xml:space="preserve">COMMENTS </t>
  </si>
  <si>
    <t>ISSSUER</t>
  </si>
  <si>
    <t>PROJECT Nº</t>
  </si>
  <si>
    <t>AREA</t>
  </si>
  <si>
    <t>DISCIP</t>
  </si>
  <si>
    <t>FAMILY</t>
  </si>
  <si>
    <t>NUMBER</t>
  </si>
  <si>
    <t>SSSS</t>
  </si>
  <si>
    <t>NNNNNN</t>
  </si>
  <si>
    <t>AA</t>
  </si>
  <si>
    <t>BBB</t>
  </si>
  <si>
    <t>CC</t>
  </si>
  <si>
    <t>YYYY</t>
  </si>
  <si>
    <t>01 - SCHEDULE AND MONTHLY REPORT</t>
  </si>
  <si>
    <t>GENERAL</t>
  </si>
  <si>
    <t>DPR PROJECT DIRECTION</t>
  </si>
  <si>
    <t>MONTHLY PROGRESS REPORT</t>
  </si>
  <si>
    <t>DATE OF PURCHASE ORDER</t>
  </si>
  <si>
    <t>02 - ENGINEERING</t>
  </si>
  <si>
    <t>MECHANICAL</t>
  </si>
  <si>
    <t>INSTRUMENTATION</t>
  </si>
  <si>
    <t>CIVIL</t>
  </si>
  <si>
    <t>FINAL DOSSIER</t>
  </si>
  <si>
    <t>DPR</t>
  </si>
  <si>
    <t>MEC</t>
  </si>
  <si>
    <t>DOCUMENT LIST</t>
  </si>
  <si>
    <t>LT</t>
  </si>
  <si>
    <t>COMMISSIONING AND START-UP SPARE PARTS LIST</t>
  </si>
  <si>
    <t>SPARE PARTS LIST FOR TWO YEARS OPERATION</t>
  </si>
  <si>
    <t>PM</t>
  </si>
  <si>
    <t>TANK ROOF DRAWING SERVICE AND FIRE FIGHTING WATER TANK 00GAD10BB001</t>
  </si>
  <si>
    <t>DATA SHEET LEVEL INDICATOR FOR SERVICE AND FIRE FIGHTING WATER TANK 00GAD10BB001</t>
  </si>
  <si>
    <t>INS</t>
  </si>
  <si>
    <t>ENGINEERING FINAL DOSSIER SERVICE AND FIRE FIGHTING WATER TANK 00GAD10BB001</t>
  </si>
  <si>
    <t>ITP INSPECTION TEST PLAN SERVICE AND FIRE FIGHTING WATER TANK 00GAD10BB001 ERECTION</t>
  </si>
  <si>
    <t>BOLTING TORQUE PROCEDURE</t>
  </si>
  <si>
    <t>PACKING AND TRANSPORTATION PROCEDURE</t>
  </si>
  <si>
    <t>MN</t>
  </si>
  <si>
    <t>QAC</t>
  </si>
  <si>
    <t>PL</t>
  </si>
  <si>
    <t>PO</t>
  </si>
  <si>
    <t>DO</t>
  </si>
  <si>
    <t>2 WEEKS AFTER PO</t>
  </si>
  <si>
    <t>3 WEEKS AFTER PO</t>
  </si>
  <si>
    <t>4 WEEKS AFTER PO</t>
  </si>
  <si>
    <t>DIMENSIONAL CONTROL PROCEDURE</t>
  </si>
  <si>
    <t>AT DELIVERY</t>
  </si>
  <si>
    <t>5 WEEKS AFTER PO</t>
  </si>
  <si>
    <t>2 WEEKS AFTER DELIVERY</t>
  </si>
  <si>
    <t>2 WEEKS AFTER ERECTION COMPLETION</t>
  </si>
  <si>
    <t>Y</t>
  </si>
  <si>
    <t>N</t>
  </si>
  <si>
    <t>C</t>
  </si>
  <si>
    <t>I</t>
  </si>
  <si>
    <t>WELDING BOOK ( WPS, PQR , WPQR , WELDING MAP )</t>
  </si>
  <si>
    <t>At least 1 month before the first shipment</t>
  </si>
  <si>
    <t>Engineering, purchasing, manufacturing, transport and erection schedule</t>
  </si>
  <si>
    <t>Monthly (25th of each month)</t>
  </si>
  <si>
    <t>OPERATION &amp; MAINTENANCE</t>
  </si>
  <si>
    <t>END OF MANUFACTURING REPORT ( EOMR ) SERVICE AND FIRE FIGHTING WATER TANK 00GAD10BB001</t>
  </si>
  <si>
    <t>Monthly</t>
  </si>
  <si>
    <t xml:space="preserve"> OPERATION AND MAINTENANCE MANUAL</t>
  </si>
  <si>
    <t>Including bolt tigthing porcedure</t>
  </si>
  <si>
    <t>QUALITY PLAN FOR BOLTED TANKS</t>
  </si>
  <si>
    <t>SURFACE PREPARATION PROCEDURE</t>
  </si>
  <si>
    <t>HYDRAULIC TEST PROCEDURE</t>
  </si>
  <si>
    <t>MECHANICAL COMPLETION DOSSIER ( MCF) SERVICE AND FIRE FIGHTING WATER TANK 00GAD10BB002</t>
  </si>
  <si>
    <t xml:space="preserve"> - </t>
  </si>
  <si>
    <t>HD</t>
  </si>
  <si>
    <t>NNN.AA</t>
  </si>
  <si>
    <t>E</t>
  </si>
  <si>
    <t>Q</t>
  </si>
  <si>
    <t>SC</t>
  </si>
  <si>
    <t>Schedule</t>
  </si>
  <si>
    <t>PR</t>
  </si>
  <si>
    <t>Progress Report</t>
  </si>
  <si>
    <t>CIV</t>
  </si>
  <si>
    <t>OM</t>
  </si>
  <si>
    <t>SL</t>
  </si>
  <si>
    <t>01</t>
  </si>
  <si>
    <t>TD</t>
  </si>
  <si>
    <t>RD</t>
  </si>
  <si>
    <t>Tank drawing</t>
  </si>
  <si>
    <t>Roof drawing</t>
  </si>
  <si>
    <t>CD</t>
  </si>
  <si>
    <t>Connections drawing</t>
  </si>
  <si>
    <t>AD</t>
  </si>
  <si>
    <t>TSD</t>
  </si>
  <si>
    <t>ROOF STRUCTURAL DESIGN</t>
  </si>
  <si>
    <t>RSD</t>
  </si>
  <si>
    <t>TANK STRUCTURAL DESIGN</t>
  </si>
  <si>
    <t>GENERAL ARRANGEMENT DRAWING SERVICE AND FIRE FIGHTING WATER TANK</t>
  </si>
  <si>
    <t>OMN</t>
  </si>
  <si>
    <t>SL2</t>
  </si>
  <si>
    <t>FD</t>
  </si>
  <si>
    <t xml:space="preserve"> FOUNDATION DRAWINGS</t>
  </si>
  <si>
    <t>FSD</t>
  </si>
  <si>
    <t xml:space="preserve"> FOUNDATIONS STRUCTURAL DESIGN</t>
  </si>
  <si>
    <t>ND</t>
  </si>
  <si>
    <t xml:space="preserve">NOZZLES DRAWING </t>
  </si>
  <si>
    <t>LADDERS AND STAIRS DRAWINGS</t>
  </si>
  <si>
    <t>HTP</t>
  </si>
  <si>
    <t>SPP</t>
  </si>
  <si>
    <t>MAN</t>
  </si>
  <si>
    <t>MTC</t>
  </si>
  <si>
    <t>MATERIAL TEST AND CERTIFICATES</t>
  </si>
  <si>
    <t xml:space="preserve">INSPECTION AND TEST PLAN </t>
  </si>
  <si>
    <t>ITP</t>
  </si>
  <si>
    <t>ASSEMBLY DRAWINGS</t>
  </si>
  <si>
    <t>FINAL DATA SHEETS</t>
  </si>
  <si>
    <t>FDS</t>
  </si>
  <si>
    <t xml:space="preserve">ARTEIN / INNODITEC / 3A </t>
  </si>
  <si>
    <t>PROJECT NUMBER</t>
  </si>
  <si>
    <t>INITIAL PROJECT SCHEDULE</t>
  </si>
  <si>
    <t>GANT CHART</t>
  </si>
  <si>
    <t>FINAL PROJECT SCHEDULE</t>
  </si>
  <si>
    <t>COST MANAGEMENT</t>
  </si>
  <si>
    <t>GC</t>
  </si>
  <si>
    <t>FPS</t>
  </si>
  <si>
    <t>ISC</t>
  </si>
  <si>
    <t>CdC</t>
  </si>
  <si>
    <t>MPR</t>
  </si>
  <si>
    <t>DOCUMENTS CODIFICATION</t>
  </si>
  <si>
    <t>To Delivery</t>
  </si>
  <si>
    <t>Delivered</t>
  </si>
  <si>
    <t>04 - QUALITY</t>
  </si>
  <si>
    <t>03 - LOGISTIC</t>
  </si>
  <si>
    <t>L</t>
  </si>
  <si>
    <t xml:space="preserve">MATERIAL </t>
  </si>
  <si>
    <t>MAT</t>
  </si>
  <si>
    <t>PI</t>
  </si>
  <si>
    <t>PACKING LIST</t>
  </si>
  <si>
    <t>PROFORMA INVOICE</t>
  </si>
  <si>
    <t>DGN</t>
  </si>
  <si>
    <t>DANGEROUS GOODS NOTE</t>
  </si>
  <si>
    <t>PURCHASE ORDER DATE</t>
  </si>
  <si>
    <t>CONTRACT DATE</t>
  </si>
  <si>
    <t>Next deadline</t>
  </si>
  <si>
    <t>PROVIDED DOCUMENTS / TOTAL DOCUMENTS</t>
  </si>
  <si>
    <t>A</t>
  </si>
  <si>
    <t>TANK AND ANCILLARY DATA SHEETS</t>
  </si>
  <si>
    <t>DS</t>
  </si>
  <si>
    <t>IM</t>
  </si>
  <si>
    <t>INSTALLATION 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</si>
</sst>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"/>
    <numFmt numFmtId="165" formatCode="0.0"/>
    <numFmt numFmtId="166" formatCode="_-* #,##0.00\ [$€]_-;\-* #,##0.00\ [$€]_-;_-* &quot;-&quot;??\ [$€]_-;_-@_-"/>
    <numFmt numFmtId="167" formatCode="m&quot;月&quot;d&quot;日&quot;;@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1"/>
      <color theme="0"/>
      <name val="Calibri"/>
      <family val="2"/>
      <scheme val="minor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b/>
      <i/>
      <sz val="18"/>
      <color theme="0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11"/>
      <color rgb="FFFF0000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166" fontId="6" fillId="0" borderId="0"/>
    <xf numFmtId="0" fontId="1" fillId="0" borderId="0"/>
  </cellStyleXfs>
  <cellXfs count="165">
    <xf numFmtId="0" fontId="0" fillId="0" borderId="0" xfId="0"/>
    <xf numFmtId="0" fontId="7" fillId="0" borderId="0" xfId="1" applyFill="1"/>
    <xf numFmtId="0" fontId="7" fillId="0" borderId="0" xfId="1" applyFill="1" applyAlignment="1">
      <alignment vertical="center"/>
    </xf>
    <xf numFmtId="0" fontId="7" fillId="0" borderId="0" xfId="1" applyFill="1" applyBorder="1"/>
    <xf numFmtId="164" fontId="7" fillId="0" borderId="0" xfId="1" applyNumberFormat="1" applyFill="1"/>
    <xf numFmtId="165" fontId="7" fillId="0" borderId="0" xfId="1" applyNumberFormat="1" applyFill="1"/>
    <xf numFmtId="0" fontId="10" fillId="2" borderId="8" xfId="0" applyFont="1" applyFill="1" applyBorder="1" applyAlignment="1">
      <alignment horizontal="center" vertical="center"/>
    </xf>
    <xf numFmtId="0" fontId="13" fillId="0" borderId="0" xfId="0" applyFont="1" applyFill="1" applyBorder="1"/>
    <xf numFmtId="0" fontId="10" fillId="2" borderId="9" xfId="0" applyFont="1" applyFill="1" applyBorder="1" applyAlignment="1">
      <alignment horizontal="center" vertical="center"/>
    </xf>
    <xf numFmtId="0" fontId="10" fillId="2" borderId="0" xfId="0" applyNumberFormat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49" fontId="10" fillId="2" borderId="0" xfId="0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35" xfId="0" applyNumberFormat="1" applyFont="1" applyFill="1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/>
    </xf>
    <xf numFmtId="49" fontId="10" fillId="2" borderId="35" xfId="0" applyNumberFormat="1" applyFont="1" applyFill="1" applyBorder="1" applyAlignment="1">
      <alignment horizontal="center" vertical="center"/>
    </xf>
    <xf numFmtId="0" fontId="16" fillId="3" borderId="37" xfId="0" applyFont="1" applyFill="1" applyBorder="1" applyAlignment="1">
      <alignment vertical="center"/>
    </xf>
    <xf numFmtId="0" fontId="16" fillId="3" borderId="38" xfId="0" applyFont="1" applyFill="1" applyBorder="1" applyAlignment="1">
      <alignment vertical="center"/>
    </xf>
    <xf numFmtId="49" fontId="16" fillId="3" borderId="38" xfId="0" applyNumberFormat="1" applyFont="1" applyFill="1" applyBorder="1" applyAlignment="1">
      <alignment vertical="center"/>
    </xf>
    <xf numFmtId="0" fontId="0" fillId="4" borderId="0" xfId="0" applyFill="1"/>
    <xf numFmtId="0" fontId="9" fillId="4" borderId="37" xfId="0" applyNumberFormat="1" applyFont="1" applyFill="1" applyBorder="1" applyAlignment="1">
      <alignment vertical="center"/>
    </xf>
    <xf numFmtId="0" fontId="9" fillId="4" borderId="38" xfId="0" applyNumberFormat="1" applyFont="1" applyFill="1" applyBorder="1" applyAlignment="1">
      <alignment vertical="center"/>
    </xf>
    <xf numFmtId="49" fontId="9" fillId="4" borderId="38" xfId="0" applyNumberFormat="1" applyFont="1" applyFill="1" applyBorder="1" applyAlignment="1">
      <alignment vertical="center"/>
    </xf>
    <xf numFmtId="0" fontId="0" fillId="0" borderId="38" xfId="0" applyBorder="1"/>
    <xf numFmtId="0" fontId="17" fillId="0" borderId="40" xfId="0" applyNumberFormat="1" applyFont="1" applyFill="1" applyBorder="1" applyAlignment="1">
      <alignment horizontal="center" vertical="center"/>
    </xf>
    <xf numFmtId="0" fontId="17" fillId="0" borderId="17" xfId="0" quotePrefix="1" applyNumberFormat="1" applyFont="1" applyFill="1" applyBorder="1" applyAlignment="1">
      <alignment horizontal="center" vertical="center"/>
    </xf>
    <xf numFmtId="49" fontId="17" fillId="0" borderId="17" xfId="0" applyNumberFormat="1" applyFont="1" applyFill="1" applyBorder="1" applyAlignment="1">
      <alignment horizontal="center" vertical="center"/>
    </xf>
    <xf numFmtId="0" fontId="17" fillId="0" borderId="17" xfId="0" applyNumberFormat="1" applyFont="1" applyFill="1" applyBorder="1" applyAlignment="1">
      <alignment horizontal="center" vertical="center"/>
    </xf>
    <xf numFmtId="49" fontId="17" fillId="0" borderId="17" xfId="0" quotePrefix="1" applyNumberFormat="1" applyFont="1" applyFill="1" applyBorder="1" applyAlignment="1">
      <alignment horizontal="center" vertical="center"/>
    </xf>
    <xf numFmtId="0" fontId="17" fillId="0" borderId="30" xfId="0" applyNumberFormat="1" applyFont="1" applyFill="1" applyBorder="1" applyAlignment="1">
      <alignment horizontal="center" vertical="center"/>
    </xf>
    <xf numFmtId="0" fontId="17" fillId="0" borderId="36" xfId="0" applyFont="1" applyFill="1" applyBorder="1" applyAlignment="1">
      <alignment horizontal="center" vertical="center"/>
    </xf>
    <xf numFmtId="0" fontId="0" fillId="0" borderId="0" xfId="0" applyFill="1"/>
    <xf numFmtId="0" fontId="9" fillId="4" borderId="38" xfId="0" applyNumberFormat="1" applyFont="1" applyFill="1" applyBorder="1" applyAlignment="1">
      <alignment horizontal="center" vertical="center"/>
    </xf>
    <xf numFmtId="167" fontId="9" fillId="4" borderId="38" xfId="0" applyNumberFormat="1" applyFont="1" applyFill="1" applyBorder="1" applyAlignment="1">
      <alignment horizontal="center" vertical="center"/>
    </xf>
    <xf numFmtId="167" fontId="9" fillId="4" borderId="38" xfId="0" applyNumberFormat="1" applyFont="1" applyFill="1" applyBorder="1" applyAlignment="1">
      <alignment vertical="center"/>
    </xf>
    <xf numFmtId="167" fontId="16" fillId="3" borderId="38" xfId="0" applyNumberFormat="1" applyFont="1" applyFill="1" applyBorder="1" applyAlignment="1">
      <alignment vertical="center"/>
    </xf>
    <xf numFmtId="0" fontId="9" fillId="4" borderId="38" xfId="0" applyNumberFormat="1" applyFont="1" applyFill="1" applyBorder="1" applyAlignment="1">
      <alignment horizontal="center" vertical="center"/>
    </xf>
    <xf numFmtId="0" fontId="9" fillId="4" borderId="38" xfId="0" applyNumberFormat="1" applyFont="1" applyFill="1" applyBorder="1" applyAlignment="1">
      <alignment horizontal="center" vertical="center"/>
    </xf>
    <xf numFmtId="166" fontId="8" fillId="0" borderId="17" xfId="0" applyNumberFormat="1" applyFont="1" applyFill="1" applyBorder="1" applyAlignment="1">
      <alignment horizontal="left" vertical="center"/>
    </xf>
    <xf numFmtId="166" fontId="8" fillId="0" borderId="15" xfId="0" applyNumberFormat="1" applyFont="1" applyFill="1" applyBorder="1" applyAlignment="1">
      <alignment horizontal="left" vertical="center"/>
    </xf>
    <xf numFmtId="0" fontId="6" fillId="0" borderId="0" xfId="0" applyFont="1"/>
    <xf numFmtId="0" fontId="17" fillId="5" borderId="36" xfId="0" applyFont="1" applyFill="1" applyBorder="1" applyAlignment="1">
      <alignment horizontal="center" vertical="center"/>
    </xf>
    <xf numFmtId="0" fontId="17" fillId="6" borderId="41" xfId="0" applyFont="1" applyFill="1" applyBorder="1" applyAlignment="1">
      <alignment horizontal="center" vertical="center"/>
    </xf>
    <xf numFmtId="0" fontId="18" fillId="0" borderId="34" xfId="0" applyFont="1" applyFill="1" applyBorder="1" applyAlignment="1">
      <alignment horizontal="left" vertical="center"/>
    </xf>
    <xf numFmtId="0" fontId="18" fillId="0" borderId="17" xfId="0" applyFont="1" applyFill="1" applyBorder="1" applyAlignment="1">
      <alignment horizontal="left" vertical="center"/>
    </xf>
    <xf numFmtId="0" fontId="18" fillId="0" borderId="15" xfId="0" applyFont="1" applyFill="1" applyBorder="1" applyAlignment="1">
      <alignment horizontal="left" vertical="center"/>
    </xf>
    <xf numFmtId="14" fontId="17" fillId="0" borderId="34" xfId="0" quotePrefix="1" applyNumberFormat="1" applyFont="1" applyFill="1" applyBorder="1" applyAlignment="1">
      <alignment horizontal="center" vertical="center"/>
    </xf>
    <xf numFmtId="14" fontId="17" fillId="0" borderId="15" xfId="0" quotePrefix="1" applyNumberFormat="1" applyFont="1" applyFill="1" applyBorder="1" applyAlignment="1">
      <alignment horizontal="center" vertical="center"/>
    </xf>
    <xf numFmtId="0" fontId="17" fillId="0" borderId="21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7" fillId="0" borderId="21" xfId="0" applyFont="1" applyFill="1" applyBorder="1" applyAlignment="1">
      <alignment horizontal="left" vertical="center" wrapText="1"/>
    </xf>
    <xf numFmtId="0" fontId="17" fillId="0" borderId="4" xfId="0" applyFont="1" applyFill="1" applyBorder="1" applyAlignment="1">
      <alignment horizontal="left" vertical="center" wrapText="1"/>
    </xf>
    <xf numFmtId="0" fontId="17" fillId="0" borderId="34" xfId="0" applyFont="1" applyFill="1" applyBorder="1" applyAlignment="1">
      <alignment horizontal="center" vertical="center" wrapText="1"/>
    </xf>
    <xf numFmtId="0" fontId="17" fillId="0" borderId="14" xfId="0" applyFont="1" applyFill="1" applyBorder="1" applyAlignment="1">
      <alignment horizontal="center" vertical="center" wrapText="1"/>
    </xf>
    <xf numFmtId="14" fontId="17" fillId="0" borderId="40" xfId="0" quotePrefix="1" applyNumberFormat="1" applyFont="1" applyFill="1" applyBorder="1" applyAlignment="1">
      <alignment horizontal="center" vertical="center"/>
    </xf>
    <xf numFmtId="14" fontId="17" fillId="0" borderId="30" xfId="0" quotePrefix="1" applyNumberFormat="1" applyFont="1" applyFill="1" applyBorder="1" applyAlignment="1">
      <alignment horizontal="center" vertical="center"/>
    </xf>
    <xf numFmtId="14" fontId="17" fillId="0" borderId="9" xfId="0" quotePrefix="1" applyNumberFormat="1" applyFont="1" applyFill="1" applyBorder="1" applyAlignment="1">
      <alignment horizontal="center" vertical="center"/>
    </xf>
    <xf numFmtId="14" fontId="17" fillId="0" borderId="11" xfId="0" quotePrefix="1" applyNumberFormat="1" applyFont="1" applyFill="1" applyBorder="1" applyAlignment="1">
      <alignment horizontal="center" vertical="center"/>
    </xf>
    <xf numFmtId="0" fontId="16" fillId="3" borderId="38" xfId="0" applyFont="1" applyFill="1" applyBorder="1" applyAlignment="1">
      <alignment horizontal="center" vertical="center"/>
    </xf>
    <xf numFmtId="0" fontId="16" fillId="3" borderId="35" xfId="0" applyFont="1" applyFill="1" applyBorder="1" applyAlignment="1">
      <alignment horizontal="center" vertical="center"/>
    </xf>
    <xf numFmtId="0" fontId="9" fillId="4" borderId="38" xfId="0" applyNumberFormat="1" applyFont="1" applyFill="1" applyBorder="1" applyAlignment="1">
      <alignment horizontal="center" vertical="center"/>
    </xf>
    <xf numFmtId="0" fontId="9" fillId="4" borderId="39" xfId="0" applyNumberFormat="1" applyFont="1" applyFill="1" applyBorder="1" applyAlignment="1">
      <alignment horizontal="center" vertical="center"/>
    </xf>
    <xf numFmtId="166" fontId="8" fillId="0" borderId="17" xfId="0" applyNumberFormat="1" applyFont="1" applyFill="1" applyBorder="1" applyAlignment="1">
      <alignment horizontal="left" vertical="center"/>
    </xf>
    <xf numFmtId="166" fontId="8" fillId="0" borderId="15" xfId="0" applyNumberFormat="1" applyFont="1" applyFill="1" applyBorder="1" applyAlignment="1">
      <alignment horizontal="left" vertical="center"/>
    </xf>
    <xf numFmtId="0" fontId="8" fillId="0" borderId="34" xfId="0" applyFont="1" applyFill="1" applyBorder="1" applyAlignment="1">
      <alignment horizontal="left" vertical="center"/>
    </xf>
    <xf numFmtId="0" fontId="8" fillId="0" borderId="17" xfId="0" applyFont="1" applyFill="1" applyBorder="1" applyAlignment="1">
      <alignment horizontal="left" vertical="center"/>
    </xf>
    <xf numFmtId="0" fontId="8" fillId="0" borderId="15" xfId="0" applyFont="1" applyFill="1" applyBorder="1" applyAlignment="1">
      <alignment horizontal="left" vertical="center"/>
    </xf>
    <xf numFmtId="14" fontId="19" fillId="0" borderId="34" xfId="0" quotePrefix="1" applyNumberFormat="1" applyFont="1" applyFill="1" applyBorder="1" applyAlignment="1">
      <alignment horizontal="center" vertical="center"/>
    </xf>
    <xf numFmtId="14" fontId="19" fillId="0" borderId="15" xfId="0" quotePrefix="1" applyNumberFormat="1" applyFont="1" applyFill="1" applyBorder="1" applyAlignment="1">
      <alignment horizontal="center" vertical="center"/>
    </xf>
    <xf numFmtId="14" fontId="17" fillId="0" borderId="8" xfId="0" quotePrefix="1" applyNumberFormat="1" applyFont="1" applyFill="1" applyBorder="1" applyAlignment="1">
      <alignment horizontal="center" vertical="center"/>
    </xf>
    <xf numFmtId="14" fontId="17" fillId="0" borderId="10" xfId="0" quotePrefix="1" applyNumberFormat="1" applyFont="1" applyFill="1" applyBorder="1" applyAlignment="1">
      <alignment horizontal="center" vertical="center"/>
    </xf>
    <xf numFmtId="14" fontId="17" fillId="0" borderId="45" xfId="0" quotePrefix="1" applyNumberFormat="1" applyFont="1" applyFill="1" applyBorder="1" applyAlignment="1">
      <alignment horizontal="center" vertical="center"/>
    </xf>
    <xf numFmtId="14" fontId="17" fillId="0" borderId="46" xfId="0" quotePrefix="1" applyNumberFormat="1" applyFont="1" applyFill="1" applyBorder="1" applyAlignment="1">
      <alignment horizontal="center" vertical="center"/>
    </xf>
    <xf numFmtId="0" fontId="8" fillId="0" borderId="34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14" fontId="17" fillId="0" borderId="25" xfId="0" quotePrefix="1" applyNumberFormat="1" applyFont="1" applyFill="1" applyBorder="1" applyAlignment="1">
      <alignment horizontal="center" vertical="center"/>
    </xf>
    <xf numFmtId="14" fontId="17" fillId="0" borderId="42" xfId="0" quotePrefix="1" applyNumberFormat="1" applyFont="1" applyFill="1" applyBorder="1" applyAlignment="1">
      <alignment horizontal="center" vertical="center"/>
    </xf>
    <xf numFmtId="0" fontId="9" fillId="4" borderId="37" xfId="0" applyNumberFormat="1" applyFont="1" applyFill="1" applyBorder="1" applyAlignment="1">
      <alignment horizontal="center" vertical="center"/>
    </xf>
    <xf numFmtId="0" fontId="8" fillId="0" borderId="25" xfId="1" applyFont="1" applyFill="1" applyBorder="1" applyAlignment="1">
      <alignment horizontal="left"/>
    </xf>
    <xf numFmtId="0" fontId="8" fillId="0" borderId="43" xfId="1" applyFont="1" applyFill="1" applyBorder="1" applyAlignment="1">
      <alignment horizontal="left"/>
    </xf>
    <xf numFmtId="0" fontId="8" fillId="0" borderId="42" xfId="1" applyFont="1" applyFill="1" applyBorder="1" applyAlignment="1">
      <alignment horizontal="left"/>
    </xf>
    <xf numFmtId="0" fontId="11" fillId="6" borderId="27" xfId="1" applyFont="1" applyFill="1" applyBorder="1" applyAlignment="1">
      <alignment horizontal="center" vertical="center"/>
    </xf>
    <xf numFmtId="0" fontId="11" fillId="6" borderId="3" xfId="1" applyFont="1" applyFill="1" applyBorder="1" applyAlignment="1">
      <alignment horizontal="center" vertical="center"/>
    </xf>
    <xf numFmtId="0" fontId="11" fillId="6" borderId="36" xfId="1" applyFont="1" applyFill="1" applyBorder="1" applyAlignment="1">
      <alignment horizontal="center" vertical="center"/>
    </xf>
    <xf numFmtId="0" fontId="11" fillId="6" borderId="9" xfId="1" applyFont="1" applyFill="1" applyBorder="1" applyAlignment="1">
      <alignment horizontal="center" vertical="center"/>
    </xf>
    <xf numFmtId="0" fontId="11" fillId="6" borderId="0" xfId="1" applyFont="1" applyFill="1" applyBorder="1" applyAlignment="1">
      <alignment horizontal="center" vertical="center"/>
    </xf>
    <xf numFmtId="0" fontId="11" fillId="6" borderId="11" xfId="1" applyFont="1" applyFill="1" applyBorder="1" applyAlignment="1">
      <alignment horizontal="center" vertical="center"/>
    </xf>
    <xf numFmtId="0" fontId="11" fillId="6" borderId="6" xfId="1" applyFont="1" applyFill="1" applyBorder="1" applyAlignment="1">
      <alignment horizontal="center" vertical="center"/>
    </xf>
    <xf numFmtId="0" fontId="11" fillId="6" borderId="35" xfId="1" applyFont="1" applyFill="1" applyBorder="1" applyAlignment="1">
      <alignment horizontal="center" vertical="center"/>
    </xf>
    <xf numFmtId="0" fontId="11" fillId="6" borderId="7" xfId="1" applyFont="1" applyFill="1" applyBorder="1" applyAlignment="1">
      <alignment horizontal="center" vertical="center"/>
    </xf>
    <xf numFmtId="0" fontId="0" fillId="2" borderId="33" xfId="0" applyFont="1" applyFill="1" applyBorder="1"/>
    <xf numFmtId="0" fontId="0" fillId="2" borderId="0" xfId="0" applyFont="1" applyFill="1" applyBorder="1"/>
    <xf numFmtId="0" fontId="10" fillId="2" borderId="2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4" fillId="2" borderId="33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35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14" fontId="17" fillId="0" borderId="27" xfId="0" quotePrefix="1" applyNumberFormat="1" applyFont="1" applyFill="1" applyBorder="1" applyAlignment="1">
      <alignment horizontal="center" vertical="center"/>
    </xf>
    <xf numFmtId="14" fontId="17" fillId="0" borderId="36" xfId="0" quotePrefix="1" applyNumberFormat="1" applyFont="1" applyFill="1" applyBorder="1" applyAlignment="1">
      <alignment horizontal="center" vertical="center"/>
    </xf>
    <xf numFmtId="0" fontId="17" fillId="0" borderId="37" xfId="0" applyNumberFormat="1" applyFont="1" applyFill="1" applyBorder="1" applyAlignment="1">
      <alignment horizontal="center" vertical="center"/>
    </xf>
    <xf numFmtId="0" fontId="17" fillId="0" borderId="38" xfId="0" applyNumberFormat="1" applyFont="1" applyFill="1" applyBorder="1" applyAlignment="1">
      <alignment horizontal="center" vertical="center"/>
    </xf>
    <xf numFmtId="0" fontId="17" fillId="0" borderId="39" xfId="0" applyNumberFormat="1" applyFont="1" applyFill="1" applyBorder="1" applyAlignment="1">
      <alignment horizontal="center" vertical="center"/>
    </xf>
    <xf numFmtId="0" fontId="14" fillId="2" borderId="3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11" fillId="0" borderId="14" xfId="1" applyNumberFormat="1" applyFont="1" applyFill="1" applyBorder="1" applyAlignment="1">
      <alignment horizontal="center" vertical="center"/>
    </xf>
    <xf numFmtId="165" fontId="11" fillId="0" borderId="16" xfId="1" applyNumberFormat="1" applyFont="1" applyFill="1" applyBorder="1" applyAlignment="1">
      <alignment horizontal="center" vertical="center"/>
    </xf>
    <xf numFmtId="165" fontId="11" fillId="0" borderId="44" xfId="1" applyNumberFormat="1" applyFont="1" applyFill="1" applyBorder="1" applyAlignment="1">
      <alignment horizontal="center" vertical="center"/>
    </xf>
    <xf numFmtId="165" fontId="11" fillId="0" borderId="24" xfId="1" applyNumberFormat="1" applyFont="1" applyFill="1" applyBorder="1" applyAlignment="1">
      <alignment horizontal="center" vertical="center"/>
    </xf>
    <xf numFmtId="0" fontId="8" fillId="0" borderId="18" xfId="1" applyFont="1" applyFill="1" applyBorder="1" applyAlignment="1">
      <alignment horizontal="left" vertical="top"/>
    </xf>
    <xf numFmtId="0" fontId="8" fillId="0" borderId="19" xfId="1" applyFont="1" applyFill="1" applyBorder="1" applyAlignment="1">
      <alignment horizontal="left" vertical="top"/>
    </xf>
    <xf numFmtId="0" fontId="8" fillId="0" borderId="20" xfId="1" applyFont="1" applyFill="1" applyBorder="1" applyAlignment="1">
      <alignment horizontal="left" vertical="top"/>
    </xf>
    <xf numFmtId="0" fontId="11" fillId="0" borderId="21" xfId="1" applyFont="1" applyFill="1" applyBorder="1" applyAlignment="1">
      <alignment horizontal="center" vertical="center"/>
    </xf>
    <xf numFmtId="0" fontId="11" fillId="0" borderId="4" xfId="1" applyFont="1" applyFill="1" applyBorder="1" applyAlignment="1">
      <alignment horizontal="center" vertical="center"/>
    </xf>
    <xf numFmtId="0" fontId="11" fillId="0" borderId="16" xfId="1" applyFont="1" applyFill="1" applyBorder="1" applyAlignment="1">
      <alignment horizontal="center" vertical="center"/>
    </xf>
    <xf numFmtId="0" fontId="11" fillId="0" borderId="22" xfId="1" applyFont="1" applyFill="1" applyBorder="1" applyAlignment="1">
      <alignment horizontal="center" vertical="center"/>
    </xf>
    <xf numFmtId="0" fontId="11" fillId="0" borderId="23" xfId="1" applyFont="1" applyFill="1" applyBorder="1" applyAlignment="1">
      <alignment horizontal="center" vertical="center"/>
    </xf>
    <xf numFmtId="0" fontId="11" fillId="0" borderId="24" xfId="1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7" fillId="0" borderId="46" xfId="0" quotePrefix="1" applyFont="1" applyFill="1" applyBorder="1" applyAlignment="1">
      <alignment horizontal="center" vertical="center"/>
    </xf>
    <xf numFmtId="0" fontId="6" fillId="0" borderId="18" xfId="3" applyFont="1" applyFill="1" applyBorder="1" applyAlignment="1">
      <alignment horizontal="center" vertical="center"/>
    </xf>
    <xf numFmtId="0" fontId="6" fillId="0" borderId="19" xfId="3" applyFont="1" applyFill="1" applyBorder="1" applyAlignment="1">
      <alignment horizontal="center" vertical="center"/>
    </xf>
    <xf numFmtId="0" fontId="6" fillId="0" borderId="12" xfId="3" applyFont="1" applyFill="1" applyBorder="1" applyAlignment="1">
      <alignment horizontal="center" vertical="center"/>
    </xf>
    <xf numFmtId="0" fontId="11" fillId="0" borderId="21" xfId="3" applyFont="1" applyFill="1" applyBorder="1" applyAlignment="1">
      <alignment horizontal="center" vertical="center"/>
    </xf>
    <xf numFmtId="0" fontId="11" fillId="0" borderId="4" xfId="3" applyFont="1" applyFill="1" applyBorder="1" applyAlignment="1">
      <alignment horizontal="center" vertical="center"/>
    </xf>
    <xf numFmtId="0" fontId="11" fillId="0" borderId="13" xfId="3" applyFont="1" applyFill="1" applyBorder="1" applyAlignment="1">
      <alignment horizontal="center" vertical="center"/>
    </xf>
    <xf numFmtId="0" fontId="11" fillId="0" borderId="22" xfId="3" applyFont="1" applyFill="1" applyBorder="1" applyAlignment="1">
      <alignment horizontal="center" vertical="center"/>
    </xf>
    <xf numFmtId="0" fontId="11" fillId="0" borderId="23" xfId="3" applyFont="1" applyFill="1" applyBorder="1" applyAlignment="1">
      <alignment horizontal="center" vertical="center"/>
    </xf>
    <xf numFmtId="0" fontId="11" fillId="0" borderId="32" xfId="3" applyFont="1" applyFill="1" applyBorder="1" applyAlignment="1">
      <alignment horizontal="center" vertical="center"/>
    </xf>
    <xf numFmtId="0" fontId="6" fillId="0" borderId="43" xfId="3" applyFont="1" applyFill="1" applyBorder="1" applyAlignment="1">
      <alignment horizontal="center" vertical="center"/>
    </xf>
    <xf numFmtId="0" fontId="6" fillId="0" borderId="26" xfId="3" applyFont="1" applyFill="1" applyBorder="1" applyAlignment="1">
      <alignment horizontal="center" vertical="center"/>
    </xf>
    <xf numFmtId="14" fontId="12" fillId="6" borderId="3" xfId="3" applyNumberFormat="1" applyFont="1" applyFill="1" applyBorder="1" applyAlignment="1">
      <alignment horizontal="center" vertical="center"/>
    </xf>
    <xf numFmtId="14" fontId="12" fillId="6" borderId="5" xfId="3" applyNumberFormat="1" applyFont="1" applyFill="1" applyBorder="1" applyAlignment="1">
      <alignment horizontal="center" vertical="center"/>
    </xf>
    <xf numFmtId="14" fontId="12" fillId="6" borderId="0" xfId="3" applyNumberFormat="1" applyFont="1" applyFill="1" applyBorder="1" applyAlignment="1">
      <alignment horizontal="center" vertical="center"/>
    </xf>
    <xf numFmtId="14" fontId="12" fillId="6" borderId="28" xfId="3" applyNumberFormat="1" applyFont="1" applyFill="1" applyBorder="1" applyAlignment="1">
      <alignment horizontal="center" vertical="center"/>
    </xf>
    <xf numFmtId="14" fontId="12" fillId="6" borderId="35" xfId="3" applyNumberFormat="1" applyFont="1" applyFill="1" applyBorder="1" applyAlignment="1">
      <alignment horizontal="center" vertical="center"/>
    </xf>
    <xf numFmtId="14" fontId="12" fillId="6" borderId="29" xfId="3" applyNumberFormat="1" applyFont="1" applyFill="1" applyBorder="1" applyAlignment="1">
      <alignment horizontal="center" vertical="center"/>
    </xf>
    <xf numFmtId="0" fontId="6" fillId="0" borderId="25" xfId="3" applyFont="1" applyFill="1" applyBorder="1" applyAlignment="1">
      <alignment horizontal="center" vertical="center"/>
    </xf>
    <xf numFmtId="0" fontId="6" fillId="0" borderId="42" xfId="3" applyFont="1" applyFill="1" applyBorder="1" applyAlignment="1">
      <alignment horizontal="center" vertical="center"/>
    </xf>
    <xf numFmtId="0" fontId="12" fillId="0" borderId="27" xfId="3" applyFont="1" applyFill="1" applyBorder="1" applyAlignment="1">
      <alignment horizontal="center" vertical="center"/>
    </xf>
    <xf numFmtId="0" fontId="12" fillId="0" borderId="3" xfId="3" applyFont="1" applyFill="1" applyBorder="1" applyAlignment="1">
      <alignment horizontal="center" vertical="center"/>
    </xf>
    <xf numFmtId="0" fontId="12" fillId="0" borderId="9" xfId="3" applyFont="1" applyFill="1" applyBorder="1" applyAlignment="1">
      <alignment horizontal="center" vertical="center"/>
    </xf>
    <xf numFmtId="0" fontId="12" fillId="0" borderId="0" xfId="3" applyFont="1" applyFill="1" applyBorder="1" applyAlignment="1">
      <alignment horizontal="center" vertical="center"/>
    </xf>
    <xf numFmtId="0" fontId="12" fillId="0" borderId="6" xfId="3" applyFont="1" applyFill="1" applyBorder="1" applyAlignment="1">
      <alignment horizontal="center" vertical="center"/>
    </xf>
    <xf numFmtId="0" fontId="12" fillId="0" borderId="35" xfId="3" applyFont="1" applyFill="1" applyBorder="1" applyAlignment="1">
      <alignment horizontal="center" vertical="center"/>
    </xf>
    <xf numFmtId="165" fontId="6" fillId="0" borderId="26" xfId="1" applyNumberFormat="1" applyFont="1" applyFill="1" applyBorder="1" applyAlignment="1">
      <alignment horizontal="center"/>
    </xf>
    <xf numFmtId="165" fontId="7" fillId="0" borderId="20" xfId="1" applyNumberFormat="1" applyFill="1" applyBorder="1" applyAlignment="1">
      <alignment horizontal="center"/>
    </xf>
    <xf numFmtId="0" fontId="7" fillId="0" borderId="8" xfId="1" applyFill="1" applyBorder="1" applyAlignment="1">
      <alignment horizontal="center" vertical="center"/>
    </xf>
    <xf numFmtId="0" fontId="7" fillId="0" borderId="33" xfId="1" applyFill="1" applyBorder="1" applyAlignment="1">
      <alignment horizontal="center" vertical="center"/>
    </xf>
    <xf numFmtId="0" fontId="7" fillId="0" borderId="9" xfId="1" applyFill="1" applyBorder="1" applyAlignment="1">
      <alignment horizontal="center" vertical="center"/>
    </xf>
    <xf numFmtId="0" fontId="7" fillId="0" borderId="0" xfId="1" applyFill="1" applyBorder="1" applyAlignment="1">
      <alignment horizontal="center" vertical="center"/>
    </xf>
    <xf numFmtId="0" fontId="7" fillId="0" borderId="6" xfId="1" applyFill="1" applyBorder="1" applyAlignment="1">
      <alignment horizontal="center" vertical="center"/>
    </xf>
    <xf numFmtId="0" fontId="7" fillId="0" borderId="35" xfId="1" applyFill="1" applyBorder="1" applyAlignment="1">
      <alignment horizontal="center" vertical="center"/>
    </xf>
  </cellXfs>
  <cellStyles count="10">
    <cellStyle name="Normal" xfId="0" builtinId="0"/>
    <cellStyle name="Normal 2" xfId="1" xr:uid="{00000000-0005-0000-0000-000001000000}"/>
    <cellStyle name="Normal 2 2" xfId="3" xr:uid="{00000000-0005-0000-0000-000002000000}"/>
    <cellStyle name="Normal 3" xfId="2" xr:uid="{00000000-0005-0000-0000-000003000000}"/>
    <cellStyle name="Normal 4" xfId="4" xr:uid="{00000000-0005-0000-0000-000004000000}"/>
    <cellStyle name="Normal 5" xfId="5" xr:uid="{00000000-0005-0000-0000-000005000000}"/>
    <cellStyle name="Normal 5 2" xfId="6" xr:uid="{00000000-0005-0000-0000-000006000000}"/>
    <cellStyle name="Normal 5 3" xfId="7" xr:uid="{00000000-0005-0000-0000-000007000000}"/>
    <cellStyle name="Normal 6" xfId="8" xr:uid="{00000000-0005-0000-0000-000008000000}"/>
    <cellStyle name="Normal 7" xfId="9" xr:uid="{00000000-0005-0000-0000-000009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2401660</xdr:colOff>
      <xdr:row>1</xdr:row>
      <xdr:rowOff>60150</xdr:rowOff>
    </xdr:from>
    <xdr:to>
      <xdr:col>19</xdr:col>
      <xdr:colOff>1665662</xdr:colOff>
      <xdr:row>6</xdr:row>
      <xdr:rowOff>71757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4867053" y="250650"/>
          <a:ext cx="3427788" cy="855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pha\intercambio\98110\Otecnica\Especificaciones\LISTAS-L-V-B-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upotsk.com\98110\Otecnica\Especificaciones\LISTAS-L-V-B-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-EQUIP"/>
      <sheetName val="L-BOMB"/>
      <sheetName val="L-LINEAS"/>
      <sheetName val="L-VALV"/>
      <sheetName val="L-VALV-RES"/>
      <sheetName val="L-INSTR"/>
      <sheetName val="ResInstr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-EQUIP"/>
      <sheetName val="L-BOMB"/>
      <sheetName val="L-LINEAS"/>
      <sheetName val="L-VALV"/>
      <sheetName val="L-VALV-RES"/>
      <sheetName val="L-INSTR"/>
      <sheetName val="ResInstr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A73"/>
  <sheetViews>
    <sheetView tabSelected="1" view="pageBreakPreview" topLeftCell="A16" zoomScale="70" zoomScaleNormal="50" zoomScaleSheetLayoutView="70" zoomScalePageLayoutView="40" workbookViewId="0">
      <selection activeCell="H28" sqref="H28:N28"/>
    </sheetView>
  </sheetViews>
  <sheetFormatPr baseColWidth="10" defaultColWidth="11.41015625" defaultRowHeight="12.7" x14ac:dyDescent="0.4"/>
  <cols>
    <col min="1" max="1" width="12.8203125" style="3" bestFit="1" customWidth="1"/>
    <col min="2" max="2" width="15.41015625" style="1" customWidth="1"/>
    <col min="3" max="3" width="14" style="1" customWidth="1"/>
    <col min="4" max="4" width="12.29296875" style="1" customWidth="1"/>
    <col min="5" max="5" width="12.52734375" style="1" customWidth="1"/>
    <col min="6" max="6" width="13.52734375" style="4" customWidth="1"/>
    <col min="7" max="7" width="39.52734375" style="1" customWidth="1"/>
    <col min="8" max="13" width="18.703125" style="1" customWidth="1"/>
    <col min="14" max="14" width="18.703125" style="5" customWidth="1"/>
    <col min="15" max="15" width="14.17578125" style="1" customWidth="1"/>
    <col min="16" max="16" width="20.8203125" style="1" customWidth="1"/>
    <col min="17" max="17" width="10.52734375" style="1" customWidth="1"/>
    <col min="18" max="18" width="29.76171875" style="2" customWidth="1"/>
    <col min="19" max="19" width="60.703125" style="2" customWidth="1"/>
    <col min="20" max="20" width="60.703125" style="1" customWidth="1"/>
    <col min="21" max="16384" width="11.41015625" style="1"/>
  </cols>
  <sheetData>
    <row r="1" spans="1:79" ht="15" customHeight="1" x14ac:dyDescent="0.45">
      <c r="A1" s="79" t="s">
        <v>115</v>
      </c>
      <c r="B1" s="80"/>
      <c r="C1" s="80"/>
      <c r="D1" s="81"/>
      <c r="E1" s="115" t="s">
        <v>1</v>
      </c>
      <c r="F1" s="116"/>
      <c r="G1" s="116"/>
      <c r="H1" s="116"/>
      <c r="I1" s="116"/>
      <c r="J1" s="116"/>
      <c r="K1" s="116"/>
      <c r="L1" s="117"/>
      <c r="M1" s="141" t="s">
        <v>139</v>
      </c>
      <c r="N1" s="142"/>
      <c r="O1" s="149" t="s">
        <v>140</v>
      </c>
      <c r="P1" s="142"/>
      <c r="Q1" s="149" t="s">
        <v>141</v>
      </c>
      <c r="R1" s="150"/>
      <c r="S1" s="159"/>
      <c r="T1" s="160"/>
    </row>
    <row r="2" spans="1:79" ht="13.2" customHeight="1" x14ac:dyDescent="0.4">
      <c r="A2" s="82" t="s">
        <v>143</v>
      </c>
      <c r="B2" s="83"/>
      <c r="C2" s="83"/>
      <c r="D2" s="84"/>
      <c r="E2" s="118" t="s">
        <v>126</v>
      </c>
      <c r="F2" s="119"/>
      <c r="G2" s="119"/>
      <c r="H2" s="119"/>
      <c r="I2" s="119"/>
      <c r="J2" s="119"/>
      <c r="K2" s="119"/>
      <c r="L2" s="120"/>
      <c r="M2" s="143">
        <v>44175</v>
      </c>
      <c r="N2" s="144"/>
      <c r="O2" s="143">
        <v>44176</v>
      </c>
      <c r="P2" s="144"/>
      <c r="Q2" s="151"/>
      <c r="R2" s="152"/>
      <c r="S2" s="161"/>
      <c r="T2" s="162"/>
    </row>
    <row r="3" spans="1:79" ht="13.2" customHeight="1" x14ac:dyDescent="0.4">
      <c r="A3" s="85"/>
      <c r="B3" s="86"/>
      <c r="C3" s="86"/>
      <c r="D3" s="87"/>
      <c r="E3" s="118"/>
      <c r="F3" s="119"/>
      <c r="G3" s="119"/>
      <c r="H3" s="119"/>
      <c r="I3" s="119"/>
      <c r="J3" s="119"/>
      <c r="K3" s="119"/>
      <c r="L3" s="120"/>
      <c r="M3" s="145"/>
      <c r="N3" s="146"/>
      <c r="O3" s="145"/>
      <c r="P3" s="146"/>
      <c r="Q3" s="153" t="e">
        <f>+#REF!</f>
        <v>#REF!</v>
      </c>
      <c r="R3" s="154"/>
      <c r="S3" s="161"/>
      <c r="T3" s="162"/>
    </row>
    <row r="4" spans="1:79" ht="13.2" customHeight="1" thickBot="1" x14ac:dyDescent="0.45">
      <c r="A4" s="88"/>
      <c r="B4" s="89"/>
      <c r="C4" s="89"/>
      <c r="D4" s="90"/>
      <c r="E4" s="118"/>
      <c r="F4" s="119"/>
      <c r="G4" s="119"/>
      <c r="H4" s="119"/>
      <c r="I4" s="119"/>
      <c r="J4" s="119"/>
      <c r="K4" s="119"/>
      <c r="L4" s="120"/>
      <c r="M4" s="147"/>
      <c r="N4" s="148"/>
      <c r="O4" s="147"/>
      <c r="P4" s="148"/>
      <c r="Q4" s="155"/>
      <c r="R4" s="156"/>
      <c r="S4" s="161"/>
      <c r="T4" s="162"/>
    </row>
    <row r="5" spans="1:79" ht="15" customHeight="1" x14ac:dyDescent="0.45">
      <c r="A5" s="79" t="s">
        <v>116</v>
      </c>
      <c r="B5" s="80"/>
      <c r="C5" s="80"/>
      <c r="D5" s="81"/>
      <c r="E5" s="118"/>
      <c r="F5" s="119"/>
      <c r="G5" s="119"/>
      <c r="H5" s="119"/>
      <c r="I5" s="119"/>
      <c r="J5" s="119"/>
      <c r="K5" s="119"/>
      <c r="L5" s="120"/>
      <c r="M5" s="157" t="s">
        <v>0</v>
      </c>
      <c r="N5" s="158"/>
      <c r="O5" s="132" t="s">
        <v>142</v>
      </c>
      <c r="P5" s="133"/>
      <c r="Q5" s="133"/>
      <c r="R5" s="134"/>
      <c r="S5" s="161"/>
      <c r="T5" s="162"/>
    </row>
    <row r="6" spans="1:79" ht="13.2" customHeight="1" x14ac:dyDescent="0.4">
      <c r="A6" s="82" t="s">
        <v>73</v>
      </c>
      <c r="B6" s="83"/>
      <c r="C6" s="83"/>
      <c r="D6" s="84"/>
      <c r="E6" s="118"/>
      <c r="F6" s="119"/>
      <c r="G6" s="119"/>
      <c r="H6" s="119"/>
      <c r="I6" s="119"/>
      <c r="J6" s="119"/>
      <c r="K6" s="119"/>
      <c r="L6" s="120"/>
      <c r="M6" s="111" t="e">
        <f>+#REF!</f>
        <v>#REF!</v>
      </c>
      <c r="N6" s="112"/>
      <c r="O6" s="135">
        <v>1</v>
      </c>
      <c r="P6" s="136"/>
      <c r="Q6" s="136"/>
      <c r="R6" s="137"/>
      <c r="S6" s="161"/>
      <c r="T6" s="162"/>
    </row>
    <row r="7" spans="1:79" ht="13.2" customHeight="1" x14ac:dyDescent="0.4">
      <c r="A7" s="85"/>
      <c r="B7" s="86"/>
      <c r="C7" s="86"/>
      <c r="D7" s="87"/>
      <c r="E7" s="118"/>
      <c r="F7" s="119"/>
      <c r="G7" s="119"/>
      <c r="H7" s="119"/>
      <c r="I7" s="119"/>
      <c r="J7" s="119"/>
      <c r="K7" s="119"/>
      <c r="L7" s="120"/>
      <c r="M7" s="111"/>
      <c r="N7" s="112"/>
      <c r="O7" s="135"/>
      <c r="P7" s="136"/>
      <c r="Q7" s="136"/>
      <c r="R7" s="137"/>
      <c r="S7" s="161"/>
      <c r="T7" s="162"/>
    </row>
    <row r="8" spans="1:79" ht="13.2" customHeight="1" thickBot="1" x14ac:dyDescent="0.45">
      <c r="A8" s="88"/>
      <c r="B8" s="89"/>
      <c r="C8" s="89"/>
      <c r="D8" s="90"/>
      <c r="E8" s="121"/>
      <c r="F8" s="122"/>
      <c r="G8" s="122"/>
      <c r="H8" s="122"/>
      <c r="I8" s="122"/>
      <c r="J8" s="122"/>
      <c r="K8" s="122"/>
      <c r="L8" s="123"/>
      <c r="M8" s="113"/>
      <c r="N8" s="114"/>
      <c r="O8" s="138"/>
      <c r="P8" s="139"/>
      <c r="Q8" s="139"/>
      <c r="R8" s="140"/>
      <c r="S8" s="163"/>
      <c r="T8" s="164"/>
    </row>
    <row r="9" spans="1:79" customFormat="1" ht="15" customHeight="1" x14ac:dyDescent="0.5">
      <c r="A9" s="6"/>
      <c r="B9" s="91"/>
      <c r="C9" s="91"/>
      <c r="D9" s="91"/>
      <c r="E9" s="92"/>
      <c r="F9" s="92"/>
      <c r="G9" s="93" t="s">
        <v>2</v>
      </c>
      <c r="H9" s="95" t="s">
        <v>1</v>
      </c>
      <c r="I9" s="96"/>
      <c r="J9" s="96"/>
      <c r="K9" s="96"/>
      <c r="L9" s="96"/>
      <c r="M9" s="97"/>
      <c r="N9" s="98"/>
      <c r="O9" s="108" t="s">
        <v>127</v>
      </c>
      <c r="P9" s="108" t="s">
        <v>128</v>
      </c>
      <c r="Q9" s="125" t="s">
        <v>3</v>
      </c>
      <c r="R9" s="126"/>
      <c r="S9" s="124" t="s">
        <v>4</v>
      </c>
      <c r="T9" s="98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</row>
    <row r="10" spans="1:79" customFormat="1" ht="27" customHeight="1" x14ac:dyDescent="0.5">
      <c r="A10" s="8" t="s">
        <v>5</v>
      </c>
      <c r="B10" s="9" t="s">
        <v>6</v>
      </c>
      <c r="C10" s="10" t="s">
        <v>7</v>
      </c>
      <c r="D10" s="10" t="s">
        <v>8</v>
      </c>
      <c r="E10" s="10" t="s">
        <v>9</v>
      </c>
      <c r="F10" s="11" t="s">
        <v>10</v>
      </c>
      <c r="G10" s="93"/>
      <c r="H10" s="95"/>
      <c r="I10" s="96"/>
      <c r="J10" s="96"/>
      <c r="K10" s="96"/>
      <c r="L10" s="96"/>
      <c r="M10" s="96"/>
      <c r="N10" s="99"/>
      <c r="O10" s="109"/>
      <c r="P10" s="109"/>
      <c r="Q10" s="127"/>
      <c r="R10" s="128"/>
      <c r="S10" s="95"/>
      <c r="T10" s="99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</row>
    <row r="11" spans="1:79" customFormat="1" ht="14.7" thickBot="1" x14ac:dyDescent="0.55000000000000004">
      <c r="A11" s="12" t="s">
        <v>11</v>
      </c>
      <c r="B11" s="13" t="s">
        <v>12</v>
      </c>
      <c r="C11" s="14" t="s">
        <v>13</v>
      </c>
      <c r="D11" s="14" t="s">
        <v>14</v>
      </c>
      <c r="E11" s="14" t="s">
        <v>15</v>
      </c>
      <c r="F11" s="15" t="s">
        <v>16</v>
      </c>
      <c r="G11" s="94"/>
      <c r="H11" s="100"/>
      <c r="I11" s="101"/>
      <c r="J11" s="101"/>
      <c r="K11" s="101"/>
      <c r="L11" s="101"/>
      <c r="M11" s="101"/>
      <c r="N11" s="102"/>
      <c r="O11" s="110"/>
      <c r="P11" s="110"/>
      <c r="Q11" s="129"/>
      <c r="R11" s="130"/>
      <c r="S11" s="100"/>
      <c r="T11" s="102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</row>
    <row r="12" spans="1:79" s="31" customFormat="1" ht="22.5" customHeight="1" thickBot="1" x14ac:dyDescent="0.55000000000000004">
      <c r="A12" s="105" t="s">
        <v>21</v>
      </c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7"/>
      <c r="Q12" s="71">
        <v>43873</v>
      </c>
      <c r="R12" s="131"/>
      <c r="S12" s="48"/>
      <c r="T12" s="49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</row>
    <row r="13" spans="1:79" s="19" customFormat="1" ht="22.7" thickBot="1" x14ac:dyDescent="0.55000000000000004">
      <c r="A13" s="16"/>
      <c r="B13" s="17"/>
      <c r="C13" s="17"/>
      <c r="D13" s="17"/>
      <c r="E13" s="17"/>
      <c r="F13" s="18"/>
      <c r="G13" s="17"/>
      <c r="H13" s="58" t="s">
        <v>17</v>
      </c>
      <c r="I13" s="58"/>
      <c r="J13" s="58"/>
      <c r="K13" s="58"/>
      <c r="L13" s="58"/>
      <c r="M13" s="58"/>
      <c r="N13" s="58"/>
      <c r="O13" s="17"/>
      <c r="P13" s="17"/>
      <c r="Q13" s="17"/>
      <c r="R13" s="17"/>
      <c r="S13" s="59"/>
      <c r="T13" s="59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</row>
    <row r="14" spans="1:79" s="23" customFormat="1" ht="18.75" customHeight="1" thickBot="1" x14ac:dyDescent="0.55000000000000004">
      <c r="A14" s="20"/>
      <c r="B14" s="21"/>
      <c r="C14" s="21"/>
      <c r="D14" s="21"/>
      <c r="E14" s="21"/>
      <c r="F14" s="22"/>
      <c r="G14" s="21"/>
      <c r="H14" s="60" t="s">
        <v>19</v>
      </c>
      <c r="I14" s="60"/>
      <c r="J14" s="60"/>
      <c r="K14" s="60"/>
      <c r="L14" s="60"/>
      <c r="M14" s="60"/>
      <c r="N14" s="60"/>
      <c r="O14" s="21"/>
      <c r="P14" s="21"/>
      <c r="Q14" s="21"/>
      <c r="R14" s="21"/>
      <c r="S14" s="60"/>
      <c r="T14" s="61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</row>
    <row r="15" spans="1:79" s="31" customFormat="1" ht="22.5" customHeight="1" x14ac:dyDescent="0.5">
      <c r="A15" s="24" t="str">
        <f>$A$2</f>
        <v>A</v>
      </c>
      <c r="B15" s="25" t="str">
        <f>$A$6</f>
        <v>NNN.AA</v>
      </c>
      <c r="C15" s="26" t="s">
        <v>33</v>
      </c>
      <c r="D15" s="27" t="s">
        <v>27</v>
      </c>
      <c r="E15" s="27" t="s">
        <v>123</v>
      </c>
      <c r="F15" s="28" t="s">
        <v>83</v>
      </c>
      <c r="G15" s="29" t="str">
        <f>+CONCATENATE(A15,"-",B15,"-",C15,"-",D15,"-",E15,"-",F15)</f>
        <v>A-NNN.AA-PM-DPR-ISC-01</v>
      </c>
      <c r="H15" s="62" t="s">
        <v>117</v>
      </c>
      <c r="I15" s="62"/>
      <c r="J15" s="62"/>
      <c r="K15" s="62"/>
      <c r="L15" s="62"/>
      <c r="M15" s="62"/>
      <c r="N15" s="63"/>
      <c r="O15" s="42" t="s">
        <v>55</v>
      </c>
      <c r="P15" s="30" t="s">
        <v>71</v>
      </c>
      <c r="Q15" s="69">
        <f>Q12+7</f>
        <v>43880</v>
      </c>
      <c r="R15" s="70"/>
      <c r="S15" s="48" t="s">
        <v>60</v>
      </c>
      <c r="T15" s="49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</row>
    <row r="16" spans="1:79" s="31" customFormat="1" ht="22.5" customHeight="1" x14ac:dyDescent="0.5">
      <c r="A16" s="24" t="str">
        <f t="shared" ref="A16:A18" si="0">$A$2</f>
        <v>A</v>
      </c>
      <c r="B16" s="25" t="str">
        <f t="shared" ref="B16:B19" si="1">$A$6</f>
        <v>NNN.AA</v>
      </c>
      <c r="C16" s="26" t="s">
        <v>33</v>
      </c>
      <c r="D16" s="27" t="s">
        <v>27</v>
      </c>
      <c r="E16" s="27" t="s">
        <v>121</v>
      </c>
      <c r="F16" s="28" t="s">
        <v>83</v>
      </c>
      <c r="G16" s="29" t="str">
        <f t="shared" ref="G16:G18" si="2">+CONCATENATE(A16,"-",B16,"-",C16,"-",D16,"-",E16,"-",F16)</f>
        <v>A-NNN.AA-PM-DPR-GC-01</v>
      </c>
      <c r="H16" s="38" t="s">
        <v>118</v>
      </c>
      <c r="I16" s="38"/>
      <c r="J16" s="38"/>
      <c r="K16" s="38"/>
      <c r="L16" s="38"/>
      <c r="M16" s="38"/>
      <c r="N16" s="39"/>
      <c r="O16" s="42"/>
      <c r="P16" s="30"/>
      <c r="Q16" s="56"/>
      <c r="R16" s="57"/>
      <c r="S16" s="52"/>
      <c r="T16" s="53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</row>
    <row r="17" spans="1:79" s="31" customFormat="1" ht="22.5" customHeight="1" x14ac:dyDescent="0.5">
      <c r="A17" s="24" t="str">
        <f t="shared" si="0"/>
        <v>A</v>
      </c>
      <c r="B17" s="25" t="str">
        <f t="shared" si="1"/>
        <v>NNN.AA</v>
      </c>
      <c r="C17" s="26" t="s">
        <v>33</v>
      </c>
      <c r="D17" s="27" t="s">
        <v>27</v>
      </c>
      <c r="E17" s="27" t="s">
        <v>122</v>
      </c>
      <c r="F17" s="28" t="s">
        <v>83</v>
      </c>
      <c r="G17" s="29" t="str">
        <f t="shared" si="2"/>
        <v>A-NNN.AA-PM-DPR-FPS-01</v>
      </c>
      <c r="H17" s="38" t="s">
        <v>119</v>
      </c>
      <c r="I17" s="38"/>
      <c r="J17" s="38"/>
      <c r="K17" s="38"/>
      <c r="L17" s="38"/>
      <c r="M17" s="38"/>
      <c r="N17" s="39"/>
      <c r="O17" s="42"/>
      <c r="P17" s="30"/>
      <c r="Q17" s="56"/>
      <c r="R17" s="57"/>
      <c r="S17" s="52"/>
      <c r="T17" s="53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</row>
    <row r="18" spans="1:79" s="31" customFormat="1" ht="22.5" customHeight="1" x14ac:dyDescent="0.5">
      <c r="A18" s="24" t="str">
        <f t="shared" si="0"/>
        <v>A</v>
      </c>
      <c r="B18" s="25" t="str">
        <f t="shared" si="1"/>
        <v>NNN.AA</v>
      </c>
      <c r="C18" s="26" t="s">
        <v>33</v>
      </c>
      <c r="D18" s="27" t="s">
        <v>27</v>
      </c>
      <c r="E18" s="27" t="s">
        <v>124</v>
      </c>
      <c r="F18" s="28" t="s">
        <v>83</v>
      </c>
      <c r="G18" s="29" t="str">
        <f t="shared" si="2"/>
        <v>A-NNN.AA-PM-DPR-CdC-01</v>
      </c>
      <c r="H18" s="38" t="s">
        <v>120</v>
      </c>
      <c r="I18" s="38"/>
      <c r="J18" s="38"/>
      <c r="K18" s="38"/>
      <c r="L18" s="38"/>
      <c r="M18" s="38"/>
      <c r="N18" s="39"/>
      <c r="O18" s="42"/>
      <c r="P18" s="30"/>
      <c r="Q18" s="54"/>
      <c r="R18" s="55"/>
      <c r="S18" s="52"/>
      <c r="T18" s="53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</row>
    <row r="19" spans="1:79" s="31" customFormat="1" ht="22.5" customHeight="1" thickBot="1" x14ac:dyDescent="0.55000000000000004">
      <c r="A19" s="24" t="str">
        <f>$A$2</f>
        <v>A</v>
      </c>
      <c r="B19" s="25" t="str">
        <f t="shared" si="1"/>
        <v>NNN.AA</v>
      </c>
      <c r="C19" s="26" t="s">
        <v>33</v>
      </c>
      <c r="D19" s="27" t="s">
        <v>27</v>
      </c>
      <c r="E19" s="27" t="s">
        <v>125</v>
      </c>
      <c r="F19" s="28" t="s">
        <v>83</v>
      </c>
      <c r="G19" s="29" t="str">
        <f>+CONCATENATE(A19,"-",B19,"-",C19,"-",D19,"-",E19,"-",F19)</f>
        <v>A-NNN.AA-PM-DPR-MPR-01</v>
      </c>
      <c r="H19" s="62" t="s">
        <v>20</v>
      </c>
      <c r="I19" s="62"/>
      <c r="J19" s="62"/>
      <c r="K19" s="62"/>
      <c r="L19" s="62"/>
      <c r="M19" s="62"/>
      <c r="N19" s="63"/>
      <c r="O19" s="42" t="s">
        <v>55</v>
      </c>
      <c r="P19" s="30" t="s">
        <v>71</v>
      </c>
      <c r="Q19" s="103" t="s">
        <v>64</v>
      </c>
      <c r="R19" s="104"/>
      <c r="S19" s="48" t="s">
        <v>61</v>
      </c>
      <c r="T19" s="49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</row>
    <row r="20" spans="1:79" s="19" customFormat="1" ht="22.7" thickBot="1" x14ac:dyDescent="0.55000000000000004">
      <c r="A20" s="16"/>
      <c r="B20" s="17"/>
      <c r="C20" s="17"/>
      <c r="D20" s="17"/>
      <c r="E20" s="17"/>
      <c r="F20" s="18"/>
      <c r="G20" s="17"/>
      <c r="H20" s="58" t="s">
        <v>22</v>
      </c>
      <c r="I20" s="58"/>
      <c r="J20" s="58"/>
      <c r="K20" s="58"/>
      <c r="L20" s="58"/>
      <c r="M20" s="58"/>
      <c r="N20" s="58"/>
      <c r="O20" s="17"/>
      <c r="P20" s="17"/>
      <c r="Q20" s="35"/>
      <c r="R20" s="35"/>
      <c r="S20" s="59"/>
      <c r="T20" s="59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</row>
    <row r="21" spans="1:79" customFormat="1" ht="18" thickBot="1" x14ac:dyDescent="0.55000000000000004">
      <c r="A21" s="78"/>
      <c r="B21" s="60"/>
      <c r="C21" s="60"/>
      <c r="D21" s="60"/>
      <c r="E21" s="60"/>
      <c r="F21" s="60"/>
      <c r="G21" s="21"/>
      <c r="H21" s="60" t="s">
        <v>27</v>
      </c>
      <c r="I21" s="60"/>
      <c r="J21" s="60"/>
      <c r="K21" s="60"/>
      <c r="L21" s="60"/>
      <c r="M21" s="60"/>
      <c r="N21" s="60"/>
      <c r="O21" s="37"/>
      <c r="P21" s="37"/>
      <c r="Q21" s="33"/>
      <c r="R21" s="34"/>
      <c r="S21" s="60"/>
      <c r="T21" s="61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</row>
    <row r="22" spans="1:79" s="31" customFormat="1" ht="22.5" customHeight="1" thickBot="1" x14ac:dyDescent="0.55000000000000004">
      <c r="A22" s="24" t="str">
        <f>$A$2</f>
        <v>A</v>
      </c>
      <c r="B22" s="25" t="str">
        <f>A6</f>
        <v>NNN.AA</v>
      </c>
      <c r="C22" s="26" t="s">
        <v>74</v>
      </c>
      <c r="D22" s="27" t="s">
        <v>27</v>
      </c>
      <c r="E22" s="27" t="s">
        <v>30</v>
      </c>
      <c r="F22" s="28" t="s">
        <v>83</v>
      </c>
      <c r="G22" s="29" t="str">
        <f>+CONCATENATE(A22,"-",B22,"-",C22,"-",D22,"-",E22,"-",F22)</f>
        <v>A-NNN.AA-E-DPR-LT-01</v>
      </c>
      <c r="H22" s="62" t="s">
        <v>29</v>
      </c>
      <c r="I22" s="62"/>
      <c r="J22" s="62"/>
      <c r="K22" s="62"/>
      <c r="L22" s="62"/>
      <c r="M22" s="62"/>
      <c r="N22" s="63"/>
      <c r="O22" s="42" t="s">
        <v>54</v>
      </c>
      <c r="P22" s="30" t="s">
        <v>57</v>
      </c>
      <c r="Q22" s="71">
        <f>Q12+7</f>
        <v>43880</v>
      </c>
      <c r="R22" s="72"/>
      <c r="S22" s="48"/>
      <c r="T22" s="49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</row>
    <row r="23" spans="1:79" s="23" customFormat="1" ht="18.75" customHeight="1" thickBot="1" x14ac:dyDescent="0.55000000000000004">
      <c r="A23" s="20"/>
      <c r="B23" s="21"/>
      <c r="C23" s="21"/>
      <c r="D23" s="21"/>
      <c r="E23" s="21"/>
      <c r="F23" s="22"/>
      <c r="G23" s="21"/>
      <c r="H23" s="60" t="s">
        <v>23</v>
      </c>
      <c r="I23" s="60"/>
      <c r="J23" s="60"/>
      <c r="K23" s="60"/>
      <c r="L23" s="60"/>
      <c r="M23" s="60"/>
      <c r="N23" s="60"/>
      <c r="O23" s="21"/>
      <c r="P23" s="21"/>
      <c r="Q23" s="34"/>
      <c r="R23" s="34"/>
      <c r="S23" s="60"/>
      <c r="T23" s="61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</row>
    <row r="24" spans="1:79" s="31" customFormat="1" ht="22.5" customHeight="1" x14ac:dyDescent="0.5">
      <c r="A24" s="24" t="str">
        <f>$A$2</f>
        <v>A</v>
      </c>
      <c r="B24" s="25" t="str">
        <f>$A$6</f>
        <v>NNN.AA</v>
      </c>
      <c r="C24" s="26" t="s">
        <v>74</v>
      </c>
      <c r="D24" s="27" t="s">
        <v>28</v>
      </c>
      <c r="E24" s="27" t="s">
        <v>84</v>
      </c>
      <c r="F24" s="28" t="s">
        <v>83</v>
      </c>
      <c r="G24" s="29" t="str">
        <f t="shared" ref="G24:G30" si="3">+CONCATENATE(A24,"-",B24,"-",C24,"-",D24,"-",E24,"-",F24)</f>
        <v>A-NNN.AA-E-MEC-TD-01</v>
      </c>
      <c r="H24" s="62" t="s">
        <v>95</v>
      </c>
      <c r="I24" s="62"/>
      <c r="J24" s="62"/>
      <c r="K24" s="62"/>
      <c r="L24" s="62"/>
      <c r="M24" s="62"/>
      <c r="N24" s="63"/>
      <c r="O24" s="42" t="s">
        <v>54</v>
      </c>
      <c r="P24" s="30" t="s">
        <v>57</v>
      </c>
      <c r="Q24" s="46">
        <f>$Q$12+16</f>
        <v>43889</v>
      </c>
      <c r="R24" s="47"/>
      <c r="S24" s="50"/>
      <c r="T24" s="51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</row>
    <row r="25" spans="1:79" s="31" customFormat="1" ht="22.5" customHeight="1" x14ac:dyDescent="0.5">
      <c r="A25" s="24" t="str">
        <f t="shared" ref="A25:A30" si="4">$A$2</f>
        <v>A</v>
      </c>
      <c r="B25" s="25" t="str">
        <f t="shared" ref="B25:B30" si="5">$A$6</f>
        <v>NNN.AA</v>
      </c>
      <c r="C25" s="26" t="s">
        <v>74</v>
      </c>
      <c r="D25" s="27" t="s">
        <v>28</v>
      </c>
      <c r="E25" s="27" t="s">
        <v>85</v>
      </c>
      <c r="F25" s="28" t="s">
        <v>83</v>
      </c>
      <c r="G25" s="29" t="str">
        <f t="shared" si="3"/>
        <v>A-NNN.AA-E-MEC-RD-01</v>
      </c>
      <c r="H25" s="62" t="s">
        <v>34</v>
      </c>
      <c r="I25" s="62"/>
      <c r="J25" s="62"/>
      <c r="K25" s="62"/>
      <c r="L25" s="62"/>
      <c r="M25" s="62"/>
      <c r="N25" s="63"/>
      <c r="O25" s="42" t="s">
        <v>54</v>
      </c>
      <c r="P25" s="30" t="s">
        <v>57</v>
      </c>
      <c r="Q25" s="46">
        <f>$Q$12+28</f>
        <v>43901</v>
      </c>
      <c r="R25" s="47"/>
      <c r="S25" s="48"/>
      <c r="T25" s="49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</row>
    <row r="26" spans="1:79" s="31" customFormat="1" ht="22.5" customHeight="1" x14ac:dyDescent="0.5">
      <c r="A26" s="24" t="str">
        <f t="shared" si="4"/>
        <v>A</v>
      </c>
      <c r="B26" s="25" t="str">
        <f t="shared" si="5"/>
        <v>NNN.AA</v>
      </c>
      <c r="C26" s="26" t="s">
        <v>74</v>
      </c>
      <c r="D26" s="27" t="s">
        <v>28</v>
      </c>
      <c r="E26" s="27" t="s">
        <v>90</v>
      </c>
      <c r="F26" s="28" t="s">
        <v>83</v>
      </c>
      <c r="G26" s="29" t="str">
        <f t="shared" si="3"/>
        <v>A-NNN.AA-E-MEC-AD-01</v>
      </c>
      <c r="H26" s="62" t="s">
        <v>104</v>
      </c>
      <c r="I26" s="62"/>
      <c r="J26" s="62"/>
      <c r="K26" s="62"/>
      <c r="L26" s="62"/>
      <c r="M26" s="62"/>
      <c r="N26" s="63"/>
      <c r="O26" s="42" t="s">
        <v>54</v>
      </c>
      <c r="P26" s="30" t="s">
        <v>57</v>
      </c>
      <c r="Q26" s="46">
        <f>$Q$12+28</f>
        <v>43901</v>
      </c>
      <c r="R26" s="47"/>
      <c r="S26" s="50"/>
      <c r="T26" s="51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</row>
    <row r="27" spans="1:79" s="31" customFormat="1" ht="22.5" customHeight="1" x14ac:dyDescent="0.5">
      <c r="A27" s="24" t="str">
        <f t="shared" si="4"/>
        <v>A</v>
      </c>
      <c r="B27" s="25" t="str">
        <f t="shared" si="5"/>
        <v>NNN.AA</v>
      </c>
      <c r="C27" s="26" t="s">
        <v>74</v>
      </c>
      <c r="D27" s="27" t="s">
        <v>28</v>
      </c>
      <c r="E27" s="27" t="s">
        <v>102</v>
      </c>
      <c r="F27" s="28" t="s">
        <v>83</v>
      </c>
      <c r="G27" s="29" t="str">
        <f t="shared" si="3"/>
        <v>A-NNN.AA-E-MEC-ND-01</v>
      </c>
      <c r="H27" s="62" t="s">
        <v>103</v>
      </c>
      <c r="I27" s="62"/>
      <c r="J27" s="62"/>
      <c r="K27" s="62"/>
      <c r="L27" s="62"/>
      <c r="M27" s="62"/>
      <c r="N27" s="63"/>
      <c r="O27" s="42" t="s">
        <v>54</v>
      </c>
      <c r="P27" s="30" t="s">
        <v>57</v>
      </c>
      <c r="Q27" s="46">
        <f>$Q$12+28</f>
        <v>43901</v>
      </c>
      <c r="R27" s="47"/>
      <c r="S27" s="48"/>
      <c r="T27" s="49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</row>
    <row r="28" spans="1:79" s="31" customFormat="1" ht="22.5" customHeight="1" x14ac:dyDescent="0.5">
      <c r="A28" s="24" t="str">
        <f t="shared" si="4"/>
        <v>A</v>
      </c>
      <c r="B28" s="25" t="str">
        <f t="shared" si="5"/>
        <v>NNN.AA</v>
      </c>
      <c r="C28" s="26" t="s">
        <v>74</v>
      </c>
      <c r="D28" s="27" t="s">
        <v>28</v>
      </c>
      <c r="E28" s="27" t="s">
        <v>93</v>
      </c>
      <c r="F28" s="28" t="s">
        <v>83</v>
      </c>
      <c r="G28" s="29" t="str">
        <f t="shared" ref="G28:G29" si="6">+CONCATENATE(A28,"-",B28,"-",C28,"-",D28,"-",E28,"-",F28)</f>
        <v>A-NNN.AA-E-MEC-RSD-01</v>
      </c>
      <c r="H28" s="62" t="s">
        <v>92</v>
      </c>
      <c r="I28" s="62"/>
      <c r="J28" s="62"/>
      <c r="K28" s="62"/>
      <c r="L28" s="62"/>
      <c r="M28" s="62"/>
      <c r="N28" s="63"/>
      <c r="O28" s="42" t="s">
        <v>54</v>
      </c>
      <c r="P28" s="30" t="s">
        <v>57</v>
      </c>
      <c r="Q28" s="46">
        <f>$Q$12+16</f>
        <v>43889</v>
      </c>
      <c r="R28" s="47"/>
      <c r="S28" s="48"/>
      <c r="T28" s="49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</row>
    <row r="29" spans="1:79" s="31" customFormat="1" ht="22.5" customHeight="1" x14ac:dyDescent="0.5">
      <c r="A29" s="24" t="str">
        <f t="shared" si="4"/>
        <v>A</v>
      </c>
      <c r="B29" s="25" t="str">
        <f t="shared" si="5"/>
        <v>NNN.AA</v>
      </c>
      <c r="C29" s="26" t="s">
        <v>74</v>
      </c>
      <c r="D29" s="27" t="s">
        <v>28</v>
      </c>
      <c r="E29" s="27" t="s">
        <v>91</v>
      </c>
      <c r="F29" s="28" t="s">
        <v>83</v>
      </c>
      <c r="G29" s="29" t="str">
        <f t="shared" si="6"/>
        <v>A-NNN.AA-E-MEC-TSD-01</v>
      </c>
      <c r="H29" s="62" t="s">
        <v>94</v>
      </c>
      <c r="I29" s="62"/>
      <c r="J29" s="62"/>
      <c r="K29" s="62"/>
      <c r="L29" s="62"/>
      <c r="M29" s="62"/>
      <c r="N29" s="63"/>
      <c r="O29" s="42" t="s">
        <v>54</v>
      </c>
      <c r="P29" s="30" t="s">
        <v>57</v>
      </c>
      <c r="Q29" s="46">
        <f>$Q$12+16</f>
        <v>43889</v>
      </c>
      <c r="R29" s="47"/>
      <c r="S29" s="48"/>
      <c r="T29" s="49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</row>
    <row r="30" spans="1:79" s="31" customFormat="1" ht="22.5" customHeight="1" thickBot="1" x14ac:dyDescent="0.55000000000000004">
      <c r="A30" s="24" t="str">
        <f t="shared" si="4"/>
        <v>A</v>
      </c>
      <c r="B30" s="25" t="str">
        <f t="shared" si="5"/>
        <v>NNN.AA</v>
      </c>
      <c r="C30" s="26" t="s">
        <v>74</v>
      </c>
      <c r="D30" s="27" t="s">
        <v>28</v>
      </c>
      <c r="E30" s="27" t="s">
        <v>145</v>
      </c>
      <c r="F30" s="28" t="s">
        <v>83</v>
      </c>
      <c r="G30" s="29" t="str">
        <f t="shared" si="3"/>
        <v>A-NNN.AA-E-MEC-DS-01</v>
      </c>
      <c r="H30" s="64" t="s">
        <v>144</v>
      </c>
      <c r="I30" s="65"/>
      <c r="J30" s="65"/>
      <c r="K30" s="65"/>
      <c r="L30" s="65"/>
      <c r="M30" s="65"/>
      <c r="N30" s="66"/>
      <c r="O30" s="42" t="s">
        <v>54</v>
      </c>
      <c r="P30" s="30" t="s">
        <v>57</v>
      </c>
      <c r="Q30" s="46">
        <f>Q12+7</f>
        <v>43880</v>
      </c>
      <c r="R30" s="47"/>
      <c r="S30" s="50"/>
      <c r="T30" s="51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</row>
    <row r="31" spans="1:79" customFormat="1" ht="18" thickBot="1" x14ac:dyDescent="0.55000000000000004">
      <c r="A31" s="78"/>
      <c r="B31" s="60"/>
      <c r="C31" s="60"/>
      <c r="D31" s="60"/>
      <c r="E31" s="60"/>
      <c r="F31" s="60"/>
      <c r="G31" s="21"/>
      <c r="H31" s="60" t="s">
        <v>24</v>
      </c>
      <c r="I31" s="60"/>
      <c r="J31" s="60"/>
      <c r="K31" s="60"/>
      <c r="L31" s="60"/>
      <c r="M31" s="60"/>
      <c r="N31" s="60"/>
      <c r="O31" s="32"/>
      <c r="P31" s="32"/>
      <c r="Q31" s="33"/>
      <c r="R31" s="34"/>
      <c r="S31" s="60"/>
      <c r="T31" s="61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</row>
    <row r="32" spans="1:79" s="31" customFormat="1" ht="22.5" customHeight="1" thickBot="1" x14ac:dyDescent="0.55000000000000004">
      <c r="A32" s="24" t="str">
        <f>$A$2</f>
        <v>A</v>
      </c>
      <c r="B32" s="25" t="str">
        <f>$A$6</f>
        <v>NNN.AA</v>
      </c>
      <c r="C32" s="26" t="s">
        <v>74</v>
      </c>
      <c r="D32" s="27" t="s">
        <v>36</v>
      </c>
      <c r="E32" s="27" t="s">
        <v>72</v>
      </c>
      <c r="F32" s="28" t="s">
        <v>83</v>
      </c>
      <c r="G32" s="29" t="str">
        <f t="shared" ref="G32" si="7">+CONCATENATE(A32,"-",B32,"-",C32,"-",D32,"-",E32,"-",F32)</f>
        <v>A-NNN.AA-E-INS-HD-01</v>
      </c>
      <c r="H32" s="43" t="s">
        <v>35</v>
      </c>
      <c r="I32" s="44"/>
      <c r="J32" s="44"/>
      <c r="K32" s="44"/>
      <c r="L32" s="44"/>
      <c r="M32" s="44"/>
      <c r="N32" s="45"/>
      <c r="O32" s="42" t="s">
        <v>54</v>
      </c>
      <c r="P32" s="30" t="s">
        <v>57</v>
      </c>
      <c r="Q32" s="69">
        <f>Q11+28</f>
        <v>28</v>
      </c>
      <c r="R32" s="70"/>
      <c r="S32" s="48"/>
      <c r="T32" s="49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</row>
    <row r="33" spans="1:79" s="31" customFormat="1" ht="22.5" customHeight="1" thickBot="1" x14ac:dyDescent="0.55000000000000004">
      <c r="A33" s="24" t="str">
        <f t="shared" ref="A33:A35" si="8">$A$2</f>
        <v>A</v>
      </c>
      <c r="B33" s="25" t="str">
        <f t="shared" ref="B33:B35" si="9">$A$6</f>
        <v>NNN.AA</v>
      </c>
      <c r="C33" s="26" t="s">
        <v>74</v>
      </c>
      <c r="D33" s="27" t="s">
        <v>36</v>
      </c>
      <c r="E33" s="27" t="s">
        <v>90</v>
      </c>
      <c r="F33" s="28" t="s">
        <v>83</v>
      </c>
      <c r="G33" s="29" t="str">
        <f>+CONCATENATE(A33,"-",B33,"-",C33,"-",D33,"-",E33,"-",F33)</f>
        <v>A-NNN.AA-E-INS-AD-01</v>
      </c>
      <c r="H33" s="43" t="s">
        <v>112</v>
      </c>
      <c r="I33" s="44"/>
      <c r="J33" s="44"/>
      <c r="K33" s="44"/>
      <c r="L33" s="44"/>
      <c r="M33" s="44"/>
      <c r="N33" s="45"/>
      <c r="O33" s="42" t="s">
        <v>54</v>
      </c>
      <c r="P33" s="30" t="s">
        <v>57</v>
      </c>
      <c r="Q33" s="69">
        <f>Q11+28</f>
        <v>28</v>
      </c>
      <c r="R33" s="70"/>
      <c r="S33" s="48"/>
      <c r="T33" s="49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</row>
    <row r="34" spans="1:79" s="31" customFormat="1" ht="22.5" customHeight="1" thickBot="1" x14ac:dyDescent="0.55000000000000004">
      <c r="A34" s="24" t="str">
        <f t="shared" si="8"/>
        <v>A</v>
      </c>
      <c r="B34" s="25" t="str">
        <f t="shared" si="9"/>
        <v>NNN.AA</v>
      </c>
      <c r="C34" s="26" t="s">
        <v>74</v>
      </c>
      <c r="D34" s="27" t="s">
        <v>36</v>
      </c>
      <c r="E34" s="27" t="s">
        <v>146</v>
      </c>
      <c r="F34" s="28" t="s">
        <v>83</v>
      </c>
      <c r="G34" s="29" t="str">
        <f>+CONCATENATE(A34,"-",B34,"-",C34,"-",D34,"-",E34,"-",F34)</f>
        <v>A-NNN.AA-E-INS-IM-01</v>
      </c>
      <c r="H34" s="43" t="s">
        <v>147</v>
      </c>
      <c r="I34" s="44"/>
      <c r="J34" s="44"/>
      <c r="K34" s="44"/>
      <c r="L34" s="44"/>
      <c r="M34" s="44"/>
      <c r="N34" s="45"/>
      <c r="O34" s="42" t="s">
        <v>54</v>
      </c>
      <c r="P34" s="30" t="s">
        <v>57</v>
      </c>
      <c r="Q34" s="69">
        <f>Q12+28</f>
        <v>43901</v>
      </c>
      <c r="R34" s="70"/>
      <c r="S34" s="48"/>
      <c r="T34" s="49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</row>
    <row r="35" spans="1:79" s="31" customFormat="1" ht="22.5" customHeight="1" thickBot="1" x14ac:dyDescent="0.55000000000000004">
      <c r="A35" s="24" t="str">
        <f t="shared" si="8"/>
        <v>A</v>
      </c>
      <c r="B35" s="25" t="str">
        <f t="shared" si="9"/>
        <v>NNN.AA</v>
      </c>
      <c r="C35" s="26" t="s">
        <v>74</v>
      </c>
      <c r="D35" s="27" t="s">
        <v>36</v>
      </c>
      <c r="E35" s="27" t="s">
        <v>114</v>
      </c>
      <c r="F35" s="28" t="s">
        <v>83</v>
      </c>
      <c r="G35" s="29" t="str">
        <f>+CONCATENATE(A35,"-",B35,"-",C35,"-",D35,"-",E35,"-",F35)</f>
        <v>A-NNN.AA-E-INS-FDS-01</v>
      </c>
      <c r="H35" s="43" t="s">
        <v>113</v>
      </c>
      <c r="I35" s="44"/>
      <c r="J35" s="44"/>
      <c r="K35" s="44"/>
      <c r="L35" s="44"/>
      <c r="M35" s="44"/>
      <c r="N35" s="45"/>
      <c r="O35" s="42" t="s">
        <v>54</v>
      </c>
      <c r="P35" s="30" t="s">
        <v>57</v>
      </c>
      <c r="Q35" s="69">
        <f>Q13+28</f>
        <v>28</v>
      </c>
      <c r="R35" s="70"/>
      <c r="S35" s="48"/>
      <c r="T35" s="49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</row>
    <row r="36" spans="1:79" customFormat="1" ht="18" thickBot="1" x14ac:dyDescent="0.55000000000000004">
      <c r="A36" s="78"/>
      <c r="B36" s="60"/>
      <c r="C36" s="60"/>
      <c r="D36" s="60"/>
      <c r="E36" s="60"/>
      <c r="F36" s="60"/>
      <c r="G36" s="21"/>
      <c r="H36" s="60" t="s">
        <v>25</v>
      </c>
      <c r="I36" s="60"/>
      <c r="J36" s="60"/>
      <c r="K36" s="60"/>
      <c r="L36" s="60"/>
      <c r="M36" s="60"/>
      <c r="N36" s="60"/>
      <c r="O36" s="32"/>
      <c r="P36" s="32"/>
      <c r="Q36" s="33"/>
      <c r="R36" s="34"/>
      <c r="S36" s="60"/>
      <c r="T36" s="61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</row>
    <row r="37" spans="1:79" s="31" customFormat="1" ht="22.5" customHeight="1" x14ac:dyDescent="0.5">
      <c r="A37" s="24" t="str">
        <f>$A$2</f>
        <v>A</v>
      </c>
      <c r="B37" s="25" t="str">
        <f>$A$6</f>
        <v>NNN.AA</v>
      </c>
      <c r="C37" s="26" t="s">
        <v>74</v>
      </c>
      <c r="D37" s="27" t="s">
        <v>80</v>
      </c>
      <c r="E37" s="27" t="s">
        <v>98</v>
      </c>
      <c r="F37" s="28" t="s">
        <v>83</v>
      </c>
      <c r="G37" s="29" t="str">
        <f>+CONCATENATE(A37,"-",B37,"-",C37,"-",D37,"-",E37,"-",F37)</f>
        <v>A-NNN.AA-E-CIV-FD-01</v>
      </c>
      <c r="H37" s="64" t="s">
        <v>99</v>
      </c>
      <c r="I37" s="65"/>
      <c r="J37" s="65"/>
      <c r="K37" s="65"/>
      <c r="L37" s="65"/>
      <c r="M37" s="65"/>
      <c r="N37" s="66"/>
      <c r="O37" s="42" t="s">
        <v>54</v>
      </c>
      <c r="P37" s="30" t="s">
        <v>57</v>
      </c>
      <c r="Q37" s="67">
        <f>$Q$12+16</f>
        <v>43889</v>
      </c>
      <c r="R37" s="68"/>
      <c r="S37" s="48"/>
      <c r="T37" s="49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</row>
    <row r="38" spans="1:79" s="31" customFormat="1" ht="22.5" customHeight="1" thickBot="1" x14ac:dyDescent="0.55000000000000004">
      <c r="A38" s="24" t="str">
        <f>$A$2</f>
        <v>A</v>
      </c>
      <c r="B38" s="25" t="str">
        <f>$A$6</f>
        <v>NNN.AA</v>
      </c>
      <c r="C38" s="26" t="s">
        <v>74</v>
      </c>
      <c r="D38" s="27" t="s">
        <v>80</v>
      </c>
      <c r="E38" s="27" t="s">
        <v>100</v>
      </c>
      <c r="F38" s="28" t="s">
        <v>83</v>
      </c>
      <c r="G38" s="29" t="str">
        <f>+CONCATENATE(A38,"-",B38,"-",C38,"-",D38,"-",E38,"-",F38)</f>
        <v>A-NNN.AA-E-CIV-FSD-01</v>
      </c>
      <c r="H38" s="64" t="s">
        <v>101</v>
      </c>
      <c r="I38" s="65"/>
      <c r="J38" s="65"/>
      <c r="K38" s="65"/>
      <c r="L38" s="65"/>
      <c r="M38" s="65"/>
      <c r="N38" s="66"/>
      <c r="O38" s="42" t="s">
        <v>54</v>
      </c>
      <c r="P38" s="30" t="s">
        <v>57</v>
      </c>
      <c r="Q38" s="67">
        <f>$Q$12+16</f>
        <v>43889</v>
      </c>
      <c r="R38" s="68"/>
      <c r="S38" s="48"/>
      <c r="T38" s="49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</row>
    <row r="39" spans="1:79" customFormat="1" ht="18" thickBot="1" x14ac:dyDescent="0.55000000000000004">
      <c r="A39" s="78"/>
      <c r="B39" s="60"/>
      <c r="C39" s="60"/>
      <c r="D39" s="60"/>
      <c r="E39" s="60"/>
      <c r="F39" s="60"/>
      <c r="G39" s="21"/>
      <c r="H39" s="60" t="s">
        <v>62</v>
      </c>
      <c r="I39" s="60"/>
      <c r="J39" s="60"/>
      <c r="K39" s="60"/>
      <c r="L39" s="60"/>
      <c r="M39" s="60"/>
      <c r="N39" s="60"/>
      <c r="O39" s="36"/>
      <c r="P39" s="36"/>
      <c r="Q39" s="33"/>
      <c r="R39" s="34"/>
      <c r="S39" s="60"/>
      <c r="T39" s="61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</row>
    <row r="40" spans="1:79" s="31" customFormat="1" ht="22.5" customHeight="1" x14ac:dyDescent="0.5">
      <c r="A40" s="24" t="str">
        <f>$A$2</f>
        <v>A</v>
      </c>
      <c r="B40" s="25" t="str">
        <f>$A$6</f>
        <v>NNN.AA</v>
      </c>
      <c r="C40" s="26" t="s">
        <v>74</v>
      </c>
      <c r="D40" s="27" t="s">
        <v>81</v>
      </c>
      <c r="E40" s="27" t="s">
        <v>82</v>
      </c>
      <c r="F40" s="28" t="s">
        <v>83</v>
      </c>
      <c r="G40" s="29" t="str">
        <f t="shared" ref="G40:G42" si="10">+CONCATENATE(A40,"-",B40,"-",C40,"-",D40,"-",E40,"-",F40)</f>
        <v>A-NNN.AA-E-OM-SL-01</v>
      </c>
      <c r="H40" s="62" t="s">
        <v>31</v>
      </c>
      <c r="I40" s="62"/>
      <c r="J40" s="62"/>
      <c r="K40" s="62"/>
      <c r="L40" s="62"/>
      <c r="M40" s="62"/>
      <c r="N40" s="63"/>
      <c r="O40" s="42" t="s">
        <v>54</v>
      </c>
      <c r="P40" s="30" t="s">
        <v>57</v>
      </c>
      <c r="Q40" s="46">
        <f>$Q$12+42</f>
        <v>43915</v>
      </c>
      <c r="R40" s="47"/>
      <c r="S40" s="48"/>
      <c r="T40" s="49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</row>
    <row r="41" spans="1:79" s="31" customFormat="1" ht="22.5" customHeight="1" x14ac:dyDescent="0.5">
      <c r="A41" s="24" t="str">
        <f>$A$2</f>
        <v>A</v>
      </c>
      <c r="B41" s="25" t="str">
        <f t="shared" ref="B41:B42" si="11">$A$6</f>
        <v>NNN.AA</v>
      </c>
      <c r="C41" s="26" t="s">
        <v>74</v>
      </c>
      <c r="D41" s="27" t="s">
        <v>81</v>
      </c>
      <c r="E41" s="27" t="s">
        <v>97</v>
      </c>
      <c r="F41" s="28" t="s">
        <v>83</v>
      </c>
      <c r="G41" s="29" t="str">
        <f t="shared" si="10"/>
        <v>A-NNN.AA-E-OM-SL2-01</v>
      </c>
      <c r="H41" s="62" t="s">
        <v>32</v>
      </c>
      <c r="I41" s="62"/>
      <c r="J41" s="62"/>
      <c r="K41" s="62"/>
      <c r="L41" s="62"/>
      <c r="M41" s="62"/>
      <c r="N41" s="63"/>
      <c r="O41" s="42" t="s">
        <v>54</v>
      </c>
      <c r="P41" s="30" t="s">
        <v>57</v>
      </c>
      <c r="Q41" s="46">
        <f>$Q$12+42</f>
        <v>43915</v>
      </c>
      <c r="R41" s="47"/>
      <c r="S41" s="48"/>
      <c r="T41" s="49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</row>
    <row r="42" spans="1:79" s="31" customFormat="1" ht="22.5" customHeight="1" thickBot="1" x14ac:dyDescent="0.55000000000000004">
      <c r="A42" s="24" t="str">
        <f>$A$2</f>
        <v>A</v>
      </c>
      <c r="B42" s="25" t="str">
        <f t="shared" si="11"/>
        <v>NNN.AA</v>
      </c>
      <c r="C42" s="26" t="s">
        <v>74</v>
      </c>
      <c r="D42" s="27" t="s">
        <v>81</v>
      </c>
      <c r="E42" s="27" t="s">
        <v>96</v>
      </c>
      <c r="F42" s="28" t="s">
        <v>83</v>
      </c>
      <c r="G42" s="29" t="str">
        <f t="shared" si="10"/>
        <v>A-NNN.AA-E-OM-OMN-01</v>
      </c>
      <c r="H42" s="43" t="s">
        <v>65</v>
      </c>
      <c r="I42" s="44"/>
      <c r="J42" s="44"/>
      <c r="K42" s="44"/>
      <c r="L42" s="44"/>
      <c r="M42" s="44"/>
      <c r="N42" s="45"/>
      <c r="O42" s="42" t="s">
        <v>54</v>
      </c>
      <c r="P42" s="41" t="s">
        <v>56</v>
      </c>
      <c r="Q42" s="46">
        <f>Q24+42</f>
        <v>43931</v>
      </c>
      <c r="R42" s="47"/>
      <c r="S42" s="50" t="s">
        <v>66</v>
      </c>
      <c r="T42" s="51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</row>
    <row r="43" spans="1:79" customFormat="1" ht="18" thickBot="1" x14ac:dyDescent="0.55000000000000004">
      <c r="A43" s="78"/>
      <c r="B43" s="60"/>
      <c r="C43" s="60"/>
      <c r="D43" s="60"/>
      <c r="E43" s="60"/>
      <c r="F43" s="60"/>
      <c r="G43" s="21"/>
      <c r="H43" s="60" t="s">
        <v>26</v>
      </c>
      <c r="I43" s="60"/>
      <c r="J43" s="60"/>
      <c r="K43" s="60"/>
      <c r="L43" s="60"/>
      <c r="M43" s="60"/>
      <c r="N43" s="60"/>
      <c r="O43" s="32"/>
      <c r="P43" s="32"/>
      <c r="Q43" s="33"/>
      <c r="R43" s="34"/>
      <c r="S43" s="60"/>
      <c r="T43" s="61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</row>
    <row r="44" spans="1:79" s="31" customFormat="1" ht="22.5" customHeight="1" thickBot="1" x14ac:dyDescent="0.55000000000000004">
      <c r="A44" s="24" t="str">
        <f>$A$2</f>
        <v>A</v>
      </c>
      <c r="B44" s="25" t="str">
        <f>$A$6</f>
        <v>NNN.AA</v>
      </c>
      <c r="C44" s="26" t="s">
        <v>74</v>
      </c>
      <c r="D44" s="27" t="s">
        <v>28</v>
      </c>
      <c r="E44" s="27" t="s">
        <v>45</v>
      </c>
      <c r="F44" s="28" t="s">
        <v>83</v>
      </c>
      <c r="G44" s="29" t="str">
        <f>+CONCATENATE(A44,"-",B44,"-",C44,"-",D44,"-",E44,"-",F44)</f>
        <v>A-NNN.AA-E-MEC-DO-01</v>
      </c>
      <c r="H44" s="43" t="s">
        <v>37</v>
      </c>
      <c r="I44" s="44"/>
      <c r="J44" s="44"/>
      <c r="K44" s="44"/>
      <c r="L44" s="44"/>
      <c r="M44" s="44"/>
      <c r="N44" s="45"/>
      <c r="O44" s="42" t="s">
        <v>54</v>
      </c>
      <c r="P44" s="30" t="s">
        <v>57</v>
      </c>
      <c r="Q44" s="69" t="s">
        <v>52</v>
      </c>
      <c r="R44" s="70"/>
      <c r="S44" s="48"/>
      <c r="T44" s="49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</row>
    <row r="45" spans="1:79" s="19" customFormat="1" ht="22.7" thickBot="1" x14ac:dyDescent="0.55000000000000004">
      <c r="A45" s="16"/>
      <c r="B45" s="17"/>
      <c r="C45" s="17"/>
      <c r="D45" s="17"/>
      <c r="E45" s="17"/>
      <c r="F45" s="18"/>
      <c r="G45" s="17"/>
      <c r="H45" s="58" t="s">
        <v>130</v>
      </c>
      <c r="I45" s="58"/>
      <c r="J45" s="58"/>
      <c r="K45" s="58"/>
      <c r="L45" s="58"/>
      <c r="M45" s="58"/>
      <c r="N45" s="58"/>
      <c r="O45" s="17"/>
      <c r="P45" s="17"/>
      <c r="Q45" s="35"/>
      <c r="R45" s="35"/>
      <c r="S45" s="59"/>
      <c r="T45" s="59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</row>
    <row r="46" spans="1:79" s="23" customFormat="1" ht="18.75" customHeight="1" thickBot="1" x14ac:dyDescent="0.55000000000000004">
      <c r="A46" s="20"/>
      <c r="B46" s="21"/>
      <c r="C46" s="21"/>
      <c r="D46" s="21"/>
      <c r="E46" s="21"/>
      <c r="F46" s="22"/>
      <c r="G46" s="21"/>
      <c r="H46" s="60" t="s">
        <v>132</v>
      </c>
      <c r="I46" s="60"/>
      <c r="J46" s="60"/>
      <c r="K46" s="60"/>
      <c r="L46" s="60"/>
      <c r="M46" s="60"/>
      <c r="N46" s="60"/>
      <c r="O46" s="21"/>
      <c r="P46" s="21"/>
      <c r="Q46" s="34"/>
      <c r="R46" s="34"/>
      <c r="S46" s="60"/>
      <c r="T46" s="61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</row>
    <row r="47" spans="1:79" s="31" customFormat="1" ht="22.5" customHeight="1" x14ac:dyDescent="0.5">
      <c r="A47" s="24" t="str">
        <f>$A$2</f>
        <v>A</v>
      </c>
      <c r="B47" s="25" t="str">
        <f>$A$6</f>
        <v>NNN.AA</v>
      </c>
      <c r="C47" s="26" t="s">
        <v>131</v>
      </c>
      <c r="D47" s="27" t="s">
        <v>133</v>
      </c>
      <c r="E47" s="27" t="s">
        <v>43</v>
      </c>
      <c r="F47" s="28" t="s">
        <v>83</v>
      </c>
      <c r="G47" s="29" t="str">
        <f>+CONCATENATE(A47,"-",B47,"-",C47,"-",D47,"-",E47,"-",F47)</f>
        <v>A-NNN.AA-L-MAT-PL-01</v>
      </c>
      <c r="H47" s="43" t="s">
        <v>135</v>
      </c>
      <c r="I47" s="44"/>
      <c r="J47" s="44"/>
      <c r="K47" s="44"/>
      <c r="L47" s="44"/>
      <c r="M47" s="44"/>
      <c r="N47" s="45"/>
      <c r="O47" s="42" t="s">
        <v>54</v>
      </c>
      <c r="P47" s="30" t="s">
        <v>57</v>
      </c>
      <c r="Q47" s="76" t="s">
        <v>47</v>
      </c>
      <c r="R47" s="77"/>
      <c r="S47" s="48"/>
      <c r="T47" s="49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</row>
    <row r="48" spans="1:79" s="31" customFormat="1" ht="22.5" customHeight="1" x14ac:dyDescent="0.5">
      <c r="A48" s="24" t="str">
        <f t="shared" ref="A48:A57" si="12">$A$2</f>
        <v>A</v>
      </c>
      <c r="B48" s="25" t="str">
        <f t="shared" ref="B48:B57" si="13">$A$6</f>
        <v>NNN.AA</v>
      </c>
      <c r="C48" s="26" t="s">
        <v>131</v>
      </c>
      <c r="D48" s="27" t="s">
        <v>133</v>
      </c>
      <c r="E48" s="27" t="s">
        <v>134</v>
      </c>
      <c r="F48" s="28" t="s">
        <v>83</v>
      </c>
      <c r="G48" s="29" t="str">
        <f t="shared" ref="G48:G53" si="14">+CONCATENATE(A48,"-",B48,"-",C48,"-",D48,"-",E48,"-",F48)</f>
        <v>A-NNN.AA-L-MAT-PI-01</v>
      </c>
      <c r="H48" s="43" t="s">
        <v>136</v>
      </c>
      <c r="I48" s="44"/>
      <c r="J48" s="44"/>
      <c r="K48" s="44"/>
      <c r="L48" s="44"/>
      <c r="M48" s="44"/>
      <c r="N48" s="45"/>
      <c r="O48" s="42" t="s">
        <v>54</v>
      </c>
      <c r="P48" s="30" t="s">
        <v>56</v>
      </c>
      <c r="Q48" s="46" t="s">
        <v>46</v>
      </c>
      <c r="R48" s="47"/>
      <c r="S48" s="48"/>
      <c r="T48" s="49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</row>
    <row r="49" spans="1:79" s="31" customFormat="1" ht="22.5" customHeight="1" x14ac:dyDescent="0.5">
      <c r="A49" s="24" t="str">
        <f t="shared" si="12"/>
        <v>A</v>
      </c>
      <c r="B49" s="25" t="str">
        <f t="shared" si="13"/>
        <v>NNN.AA</v>
      </c>
      <c r="C49" s="26" t="s">
        <v>131</v>
      </c>
      <c r="D49" s="27" t="s">
        <v>133</v>
      </c>
      <c r="E49" s="27" t="s">
        <v>137</v>
      </c>
      <c r="F49" s="28" t="s">
        <v>83</v>
      </c>
      <c r="G49" s="29" t="str">
        <f t="shared" si="14"/>
        <v>A-NNN.AA-L-MAT-DGN-01</v>
      </c>
      <c r="H49" s="43" t="s">
        <v>138</v>
      </c>
      <c r="I49" s="44"/>
      <c r="J49" s="44"/>
      <c r="K49" s="44"/>
      <c r="L49" s="44"/>
      <c r="M49" s="44"/>
      <c r="N49" s="45"/>
      <c r="O49" s="42" t="s">
        <v>54</v>
      </c>
      <c r="P49" s="30" t="s">
        <v>56</v>
      </c>
      <c r="Q49" s="46" t="s">
        <v>48</v>
      </c>
      <c r="R49" s="47"/>
      <c r="S49" s="48"/>
      <c r="T49" s="49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</row>
    <row r="50" spans="1:79" s="31" customFormat="1" ht="22.5" customHeight="1" x14ac:dyDescent="0.5">
      <c r="A50" s="24" t="str">
        <f t="shared" si="12"/>
        <v>A</v>
      </c>
      <c r="B50" s="25" t="str">
        <f t="shared" si="13"/>
        <v>NNN.AA</v>
      </c>
      <c r="C50" s="26" t="s">
        <v>131</v>
      </c>
      <c r="D50" s="27" t="s">
        <v>42</v>
      </c>
      <c r="E50" s="27" t="s">
        <v>44</v>
      </c>
      <c r="F50" s="28" t="s">
        <v>83</v>
      </c>
      <c r="G50" s="29" t="str">
        <f t="shared" si="14"/>
        <v>A-NNN.AA-L-QAC-PO-01</v>
      </c>
      <c r="H50" s="43" t="s">
        <v>49</v>
      </c>
      <c r="I50" s="44"/>
      <c r="J50" s="44"/>
      <c r="K50" s="44"/>
      <c r="L50" s="44"/>
      <c r="M50" s="44"/>
      <c r="N50" s="45"/>
      <c r="O50" s="42" t="s">
        <v>55</v>
      </c>
      <c r="P50" s="30" t="s">
        <v>71</v>
      </c>
      <c r="Q50" s="46" t="s">
        <v>47</v>
      </c>
      <c r="R50" s="47"/>
      <c r="S50" s="48"/>
      <c r="T50" s="49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</row>
    <row r="51" spans="1:79" s="31" customFormat="1" ht="22.5" customHeight="1" x14ac:dyDescent="0.5">
      <c r="A51" s="24" t="str">
        <f t="shared" si="12"/>
        <v>A</v>
      </c>
      <c r="B51" s="25" t="str">
        <f t="shared" si="13"/>
        <v>NNN.AA</v>
      </c>
      <c r="C51" s="26" t="s">
        <v>131</v>
      </c>
      <c r="D51" s="27" t="s">
        <v>36</v>
      </c>
      <c r="E51" s="27" t="s">
        <v>44</v>
      </c>
      <c r="F51" s="28" t="s">
        <v>83</v>
      </c>
      <c r="G51" s="29" t="str">
        <f t="shared" si="14"/>
        <v>A-NNN.AA-L-INS-PO-01</v>
      </c>
      <c r="H51" s="43" t="s">
        <v>39</v>
      </c>
      <c r="I51" s="44"/>
      <c r="J51" s="44"/>
      <c r="K51" s="44"/>
      <c r="L51" s="44"/>
      <c r="M51" s="44"/>
      <c r="N51" s="45"/>
      <c r="O51" s="42" t="s">
        <v>55</v>
      </c>
      <c r="P51" s="30" t="s">
        <v>71</v>
      </c>
      <c r="Q51" s="46" t="s">
        <v>48</v>
      </c>
      <c r="R51" s="47"/>
      <c r="S51" s="48"/>
      <c r="T51" s="49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</row>
    <row r="52" spans="1:79" s="31" customFormat="1" ht="22.5" customHeight="1" x14ac:dyDescent="0.5">
      <c r="A52" s="24" t="str">
        <f t="shared" si="12"/>
        <v>A</v>
      </c>
      <c r="B52" s="25" t="str">
        <f t="shared" si="13"/>
        <v>NNN.AA</v>
      </c>
      <c r="C52" s="26" t="s">
        <v>131</v>
      </c>
      <c r="D52" s="27" t="s">
        <v>107</v>
      </c>
      <c r="E52" s="27" t="s">
        <v>106</v>
      </c>
      <c r="F52" s="28" t="s">
        <v>83</v>
      </c>
      <c r="G52" s="29" t="str">
        <f t="shared" si="14"/>
        <v>A-NNN.AA-L-MAN-SPP-01</v>
      </c>
      <c r="H52" s="43" t="s">
        <v>68</v>
      </c>
      <c r="I52" s="44"/>
      <c r="J52" s="44"/>
      <c r="K52" s="44"/>
      <c r="L52" s="44"/>
      <c r="M52" s="44"/>
      <c r="N52" s="45"/>
      <c r="O52" s="42" t="s">
        <v>55</v>
      </c>
      <c r="P52" s="30" t="s">
        <v>71</v>
      </c>
      <c r="Q52" s="46" t="s">
        <v>48</v>
      </c>
      <c r="R52" s="47"/>
      <c r="S52" s="48"/>
      <c r="T52" s="49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</row>
    <row r="53" spans="1:79" s="31" customFormat="1" ht="22.5" customHeight="1" x14ac:dyDescent="0.5">
      <c r="A53" s="24" t="str">
        <f t="shared" si="12"/>
        <v>A</v>
      </c>
      <c r="B53" s="25" t="str">
        <f t="shared" si="13"/>
        <v>NNN.AA</v>
      </c>
      <c r="C53" s="26" t="s">
        <v>131</v>
      </c>
      <c r="D53" s="27" t="s">
        <v>42</v>
      </c>
      <c r="E53" s="27" t="s">
        <v>44</v>
      </c>
      <c r="F53" s="28" t="s">
        <v>83</v>
      </c>
      <c r="G53" s="29" t="str">
        <f t="shared" si="14"/>
        <v>A-NNN.AA-L-QAC-PO-01</v>
      </c>
      <c r="H53" s="43" t="s">
        <v>40</v>
      </c>
      <c r="I53" s="44"/>
      <c r="J53" s="44"/>
      <c r="K53" s="44"/>
      <c r="L53" s="44"/>
      <c r="M53" s="44"/>
      <c r="N53" s="45"/>
      <c r="O53" s="42" t="s">
        <v>55</v>
      </c>
      <c r="P53" s="30" t="s">
        <v>71</v>
      </c>
      <c r="Q53" s="46" t="s">
        <v>51</v>
      </c>
      <c r="R53" s="47"/>
      <c r="S53" s="50" t="s">
        <v>59</v>
      </c>
      <c r="T53" s="51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</row>
    <row r="54" spans="1:79" s="31" customFormat="1" ht="22.5" customHeight="1" x14ac:dyDescent="0.5">
      <c r="A54" s="24" t="str">
        <f t="shared" si="12"/>
        <v>A</v>
      </c>
      <c r="B54" s="25" t="str">
        <f t="shared" si="13"/>
        <v>NNN.AA</v>
      </c>
      <c r="C54" s="26" t="s">
        <v>131</v>
      </c>
      <c r="D54" s="27" t="s">
        <v>36</v>
      </c>
      <c r="E54" s="27" t="s">
        <v>105</v>
      </c>
      <c r="F54" s="28" t="s">
        <v>83</v>
      </c>
      <c r="G54" s="29" t="str">
        <f>+CONCATENATE(A54,"-",B54,"-",C54,"-",D54,"-",E54,"-",F54)</f>
        <v>A-NNN.AA-L-INS-HTP-01</v>
      </c>
      <c r="H54" s="43" t="s">
        <v>69</v>
      </c>
      <c r="I54" s="44"/>
      <c r="J54" s="44"/>
      <c r="K54" s="44"/>
      <c r="L54" s="44"/>
      <c r="M54" s="44"/>
      <c r="N54" s="45"/>
      <c r="O54" s="42" t="s">
        <v>54</v>
      </c>
      <c r="P54" s="30" t="s">
        <v>57</v>
      </c>
      <c r="Q54" s="46" t="s">
        <v>50</v>
      </c>
      <c r="R54" s="47"/>
      <c r="S54" s="48"/>
      <c r="T54" s="49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</row>
    <row r="55" spans="1:79" s="31" customFormat="1" ht="22.5" customHeight="1" x14ac:dyDescent="0.5">
      <c r="A55" s="24" t="str">
        <f t="shared" si="12"/>
        <v>A</v>
      </c>
      <c r="B55" s="25" t="str">
        <f t="shared" si="13"/>
        <v>NNN.AA</v>
      </c>
      <c r="C55" s="26" t="s">
        <v>131</v>
      </c>
      <c r="D55" s="27" t="s">
        <v>42</v>
      </c>
      <c r="E55" s="27" t="s">
        <v>44</v>
      </c>
      <c r="F55" s="28" t="s">
        <v>83</v>
      </c>
      <c r="G55" s="29" t="str">
        <f>+CONCATENATE(A55,"-",B55,"-",C55,"-",D55,"-",E55,"-",F55)</f>
        <v>A-NNN.AA-L-QAC-PO-01</v>
      </c>
      <c r="H55" s="43" t="s">
        <v>58</v>
      </c>
      <c r="I55" s="44"/>
      <c r="J55" s="44"/>
      <c r="K55" s="44"/>
      <c r="L55" s="44"/>
      <c r="M55" s="44"/>
      <c r="N55" s="45"/>
      <c r="O55" s="42" t="s">
        <v>54</v>
      </c>
      <c r="P55" s="30" t="s">
        <v>57</v>
      </c>
      <c r="Q55" s="46" t="s">
        <v>47</v>
      </c>
      <c r="R55" s="47"/>
      <c r="S55" s="48"/>
      <c r="T55" s="49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</row>
    <row r="56" spans="1:79" s="31" customFormat="1" ht="22.5" customHeight="1" x14ac:dyDescent="0.5">
      <c r="A56" s="24" t="str">
        <f t="shared" si="12"/>
        <v>A</v>
      </c>
      <c r="B56" s="25" t="str">
        <f t="shared" si="13"/>
        <v>NNN.AA</v>
      </c>
      <c r="C56" s="26" t="s">
        <v>131</v>
      </c>
      <c r="D56" s="27" t="s">
        <v>107</v>
      </c>
      <c r="E56" s="27" t="s">
        <v>108</v>
      </c>
      <c r="F56" s="28" t="s">
        <v>83</v>
      </c>
      <c r="G56" s="29" t="str">
        <f t="shared" ref="G56" si="15">+CONCATENATE(A56,"-",B56,"-",C56,"-",D56,"-",E56,"-",F56)</f>
        <v>A-NNN.AA-L-MAN-MTC-01</v>
      </c>
      <c r="H56" s="73" t="s">
        <v>109</v>
      </c>
      <c r="I56" s="74"/>
      <c r="J56" s="74"/>
      <c r="K56" s="74"/>
      <c r="L56" s="74"/>
      <c r="M56" s="74"/>
      <c r="N56" s="75"/>
      <c r="O56" s="42" t="s">
        <v>55</v>
      </c>
      <c r="P56" s="30" t="s">
        <v>71</v>
      </c>
      <c r="Q56" s="46" t="s">
        <v>50</v>
      </c>
      <c r="R56" s="47"/>
      <c r="S56" s="48"/>
      <c r="T56" s="49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</row>
    <row r="57" spans="1:79" s="31" customFormat="1" ht="22.5" customHeight="1" thickBot="1" x14ac:dyDescent="0.55000000000000004">
      <c r="A57" s="24" t="str">
        <f t="shared" si="12"/>
        <v>A</v>
      </c>
      <c r="B57" s="25" t="str">
        <f t="shared" si="13"/>
        <v>NNN.AA</v>
      </c>
      <c r="C57" s="26" t="s">
        <v>131</v>
      </c>
      <c r="D57" s="27" t="s">
        <v>42</v>
      </c>
      <c r="E57" s="27" t="s">
        <v>44</v>
      </c>
      <c r="F57" s="28" t="s">
        <v>83</v>
      </c>
      <c r="G57" s="29" t="str">
        <f>+CONCATENATE(A57,"-",B57,"-",C57,"-",D57,"-",E57,"-",F57)</f>
        <v>A-NNN.AA-L-QAC-PO-01</v>
      </c>
      <c r="H57" s="43" t="s">
        <v>49</v>
      </c>
      <c r="I57" s="44"/>
      <c r="J57" s="44"/>
      <c r="K57" s="44"/>
      <c r="L57" s="44"/>
      <c r="M57" s="44"/>
      <c r="N57" s="45"/>
      <c r="O57" s="42" t="s">
        <v>55</v>
      </c>
      <c r="P57" s="30" t="s">
        <v>71</v>
      </c>
      <c r="Q57" s="46" t="s">
        <v>47</v>
      </c>
      <c r="R57" s="47"/>
      <c r="S57" s="48"/>
      <c r="T57" s="49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</row>
    <row r="58" spans="1:79" s="19" customFormat="1" ht="22.7" thickBot="1" x14ac:dyDescent="0.55000000000000004">
      <c r="A58" s="16"/>
      <c r="B58" s="17"/>
      <c r="C58" s="17"/>
      <c r="D58" s="17"/>
      <c r="E58" s="17"/>
      <c r="F58" s="18"/>
      <c r="G58" s="17"/>
      <c r="H58" s="58" t="s">
        <v>129</v>
      </c>
      <c r="I58" s="58"/>
      <c r="J58" s="58"/>
      <c r="K58" s="58"/>
      <c r="L58" s="58"/>
      <c r="M58" s="58"/>
      <c r="N58" s="58"/>
      <c r="O58" s="17"/>
      <c r="P58" s="17"/>
      <c r="Q58" s="35"/>
      <c r="R58" s="35"/>
      <c r="S58" s="59"/>
      <c r="T58" s="59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</row>
    <row r="59" spans="1:79" s="23" customFormat="1" ht="18.75" customHeight="1" thickBot="1" x14ac:dyDescent="0.55000000000000004">
      <c r="A59" s="20"/>
      <c r="B59" s="21"/>
      <c r="C59" s="21"/>
      <c r="D59" s="21"/>
      <c r="E59" s="21"/>
      <c r="F59" s="22"/>
      <c r="G59" s="21"/>
      <c r="H59" s="60" t="s">
        <v>18</v>
      </c>
      <c r="I59" s="60"/>
      <c r="J59" s="60"/>
      <c r="K59" s="60"/>
      <c r="L59" s="60"/>
      <c r="M59" s="60"/>
      <c r="N59" s="60"/>
      <c r="O59" s="21"/>
      <c r="P59" s="21"/>
      <c r="Q59" s="34"/>
      <c r="R59" s="34"/>
      <c r="S59" s="60"/>
      <c r="T59" s="61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</row>
    <row r="60" spans="1:79" s="31" customFormat="1" ht="22.5" customHeight="1" x14ac:dyDescent="0.5">
      <c r="A60" s="24" t="str">
        <f>$A$2</f>
        <v>A</v>
      </c>
      <c r="B60" s="25" t="str">
        <f>$A$6</f>
        <v>NNN.AA</v>
      </c>
      <c r="C60" s="26" t="s">
        <v>75</v>
      </c>
      <c r="D60" s="27" t="s">
        <v>42</v>
      </c>
      <c r="E60" s="27" t="s">
        <v>41</v>
      </c>
      <c r="F60" s="28" t="s">
        <v>83</v>
      </c>
      <c r="G60" s="29" t="str">
        <f>+CONCATENATE(A60,"-",B60,"-",C60,"-",D60,"-",E60,"-",F60)</f>
        <v>A-NNN.AA-Q-QAC-MN-01</v>
      </c>
      <c r="H60" s="43" t="s">
        <v>67</v>
      </c>
      <c r="I60" s="44"/>
      <c r="J60" s="44"/>
      <c r="K60" s="44"/>
      <c r="L60" s="44"/>
      <c r="M60" s="44"/>
      <c r="N60" s="45"/>
      <c r="O60" s="42" t="s">
        <v>54</v>
      </c>
      <c r="P60" s="30" t="s">
        <v>57</v>
      </c>
      <c r="Q60" s="76" t="s">
        <v>47</v>
      </c>
      <c r="R60" s="77"/>
      <c r="S60" s="48"/>
      <c r="T60" s="49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</row>
    <row r="61" spans="1:79" s="31" customFormat="1" ht="22.5" customHeight="1" x14ac:dyDescent="0.5">
      <c r="A61" s="24" t="str">
        <f t="shared" ref="A61:A70" si="16">$A$2</f>
        <v>A</v>
      </c>
      <c r="B61" s="25" t="str">
        <f t="shared" ref="B61:B70" si="17">$A$6</f>
        <v>NNN.AA</v>
      </c>
      <c r="C61" s="26" t="s">
        <v>75</v>
      </c>
      <c r="D61" s="27" t="s">
        <v>107</v>
      </c>
      <c r="E61" s="27" t="s">
        <v>111</v>
      </c>
      <c r="F61" s="28" t="s">
        <v>83</v>
      </c>
      <c r="G61" s="29" t="str">
        <f t="shared" ref="G61:G66" si="18">+CONCATENATE(A61,"-",B61,"-",C61,"-",D61,"-",E61,"-",F61)</f>
        <v>A-NNN.AA-Q-MAN-ITP-01</v>
      </c>
      <c r="H61" s="43" t="s">
        <v>110</v>
      </c>
      <c r="I61" s="44"/>
      <c r="J61" s="44"/>
      <c r="K61" s="44"/>
      <c r="L61" s="44"/>
      <c r="M61" s="44"/>
      <c r="N61" s="45"/>
      <c r="O61" s="42" t="s">
        <v>54</v>
      </c>
      <c r="P61" s="30" t="s">
        <v>56</v>
      </c>
      <c r="Q61" s="46" t="s">
        <v>46</v>
      </c>
      <c r="R61" s="47"/>
      <c r="S61" s="48"/>
      <c r="T61" s="49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</row>
    <row r="62" spans="1:79" s="31" customFormat="1" ht="22.5" customHeight="1" x14ac:dyDescent="0.5">
      <c r="A62" s="24" t="str">
        <f t="shared" si="16"/>
        <v>A</v>
      </c>
      <c r="B62" s="25" t="str">
        <f t="shared" si="17"/>
        <v>NNN.AA</v>
      </c>
      <c r="C62" s="26" t="s">
        <v>75</v>
      </c>
      <c r="D62" s="27" t="s">
        <v>42</v>
      </c>
      <c r="E62" s="27" t="s">
        <v>43</v>
      </c>
      <c r="F62" s="28" t="s">
        <v>83</v>
      </c>
      <c r="G62" s="29" t="str">
        <f t="shared" si="18"/>
        <v>A-NNN.AA-Q-QAC-PL-01</v>
      </c>
      <c r="H62" s="43" t="s">
        <v>38</v>
      </c>
      <c r="I62" s="44"/>
      <c r="J62" s="44"/>
      <c r="K62" s="44"/>
      <c r="L62" s="44"/>
      <c r="M62" s="44"/>
      <c r="N62" s="45"/>
      <c r="O62" s="42" t="s">
        <v>54</v>
      </c>
      <c r="P62" s="30" t="s">
        <v>56</v>
      </c>
      <c r="Q62" s="46" t="s">
        <v>48</v>
      </c>
      <c r="R62" s="47"/>
      <c r="S62" s="48"/>
      <c r="T62" s="49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</row>
    <row r="63" spans="1:79" s="31" customFormat="1" ht="22.5" customHeight="1" x14ac:dyDescent="0.5">
      <c r="A63" s="24" t="str">
        <f t="shared" si="16"/>
        <v>A</v>
      </c>
      <c r="B63" s="25" t="str">
        <f t="shared" si="17"/>
        <v>NNN.AA</v>
      </c>
      <c r="C63" s="26" t="s">
        <v>75</v>
      </c>
      <c r="D63" s="27" t="s">
        <v>42</v>
      </c>
      <c r="E63" s="27" t="s">
        <v>44</v>
      </c>
      <c r="F63" s="28" t="s">
        <v>83</v>
      </c>
      <c r="G63" s="29" t="str">
        <f t="shared" si="18"/>
        <v>A-NNN.AA-Q-QAC-PO-01</v>
      </c>
      <c r="H63" s="43" t="s">
        <v>49</v>
      </c>
      <c r="I63" s="44"/>
      <c r="J63" s="44"/>
      <c r="K63" s="44"/>
      <c r="L63" s="44"/>
      <c r="M63" s="44"/>
      <c r="N63" s="45"/>
      <c r="O63" s="42" t="s">
        <v>55</v>
      </c>
      <c r="P63" s="30" t="s">
        <v>71</v>
      </c>
      <c r="Q63" s="46" t="s">
        <v>47</v>
      </c>
      <c r="R63" s="47"/>
      <c r="S63" s="48"/>
      <c r="T63" s="49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</row>
    <row r="64" spans="1:79" s="31" customFormat="1" ht="22.5" customHeight="1" x14ac:dyDescent="0.5">
      <c r="A64" s="24" t="str">
        <f t="shared" si="16"/>
        <v>A</v>
      </c>
      <c r="B64" s="25" t="str">
        <f t="shared" si="17"/>
        <v>NNN.AA</v>
      </c>
      <c r="C64" s="26" t="s">
        <v>75</v>
      </c>
      <c r="D64" s="27" t="s">
        <v>36</v>
      </c>
      <c r="E64" s="27" t="s">
        <v>44</v>
      </c>
      <c r="F64" s="28" t="s">
        <v>83</v>
      </c>
      <c r="G64" s="29" t="str">
        <f t="shared" si="18"/>
        <v>A-NNN.AA-Q-INS-PO-01</v>
      </c>
      <c r="H64" s="43" t="s">
        <v>39</v>
      </c>
      <c r="I64" s="44"/>
      <c r="J64" s="44"/>
      <c r="K64" s="44"/>
      <c r="L64" s="44"/>
      <c r="M64" s="44"/>
      <c r="N64" s="45"/>
      <c r="O64" s="42" t="s">
        <v>55</v>
      </c>
      <c r="P64" s="30" t="s">
        <v>71</v>
      </c>
      <c r="Q64" s="46" t="s">
        <v>48</v>
      </c>
      <c r="R64" s="47"/>
      <c r="S64" s="48"/>
      <c r="T64" s="49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</row>
    <row r="65" spans="1:79" s="31" customFormat="1" ht="22.5" customHeight="1" x14ac:dyDescent="0.5">
      <c r="A65" s="24" t="str">
        <f t="shared" si="16"/>
        <v>A</v>
      </c>
      <c r="B65" s="25" t="str">
        <f t="shared" si="17"/>
        <v>NNN.AA</v>
      </c>
      <c r="C65" s="26" t="s">
        <v>75</v>
      </c>
      <c r="D65" s="27" t="s">
        <v>107</v>
      </c>
      <c r="E65" s="27" t="s">
        <v>106</v>
      </c>
      <c r="F65" s="28" t="s">
        <v>83</v>
      </c>
      <c r="G65" s="29" t="str">
        <f t="shared" si="18"/>
        <v>A-NNN.AA-Q-MAN-SPP-01</v>
      </c>
      <c r="H65" s="43" t="s">
        <v>68</v>
      </c>
      <c r="I65" s="44"/>
      <c r="J65" s="44"/>
      <c r="K65" s="44"/>
      <c r="L65" s="44"/>
      <c r="M65" s="44"/>
      <c r="N65" s="45"/>
      <c r="O65" s="42" t="s">
        <v>55</v>
      </c>
      <c r="P65" s="30" t="s">
        <v>71</v>
      </c>
      <c r="Q65" s="46" t="s">
        <v>48</v>
      </c>
      <c r="R65" s="47"/>
      <c r="S65" s="48"/>
      <c r="T65" s="49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</row>
    <row r="66" spans="1:79" s="31" customFormat="1" ht="22.5" customHeight="1" x14ac:dyDescent="0.5">
      <c r="A66" s="24" t="str">
        <f t="shared" si="16"/>
        <v>A</v>
      </c>
      <c r="B66" s="25" t="str">
        <f t="shared" si="17"/>
        <v>NNN.AA</v>
      </c>
      <c r="C66" s="26" t="s">
        <v>75</v>
      </c>
      <c r="D66" s="27" t="s">
        <v>42</v>
      </c>
      <c r="E66" s="27" t="s">
        <v>44</v>
      </c>
      <c r="F66" s="28" t="s">
        <v>83</v>
      </c>
      <c r="G66" s="29" t="str">
        <f t="shared" si="18"/>
        <v>A-NNN.AA-Q-QAC-PO-01</v>
      </c>
      <c r="H66" s="43" t="s">
        <v>40</v>
      </c>
      <c r="I66" s="44"/>
      <c r="J66" s="44"/>
      <c r="K66" s="44"/>
      <c r="L66" s="44"/>
      <c r="M66" s="44"/>
      <c r="N66" s="45"/>
      <c r="O66" s="42" t="s">
        <v>55</v>
      </c>
      <c r="P66" s="30" t="s">
        <v>71</v>
      </c>
      <c r="Q66" s="46" t="s">
        <v>51</v>
      </c>
      <c r="R66" s="47"/>
      <c r="S66" s="50" t="s">
        <v>59</v>
      </c>
      <c r="T66" s="51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</row>
    <row r="67" spans="1:79" s="31" customFormat="1" ht="22.5" customHeight="1" x14ac:dyDescent="0.5">
      <c r="A67" s="24" t="str">
        <f t="shared" si="16"/>
        <v>A</v>
      </c>
      <c r="B67" s="25" t="str">
        <f t="shared" si="17"/>
        <v>NNN.AA</v>
      </c>
      <c r="C67" s="26" t="s">
        <v>75</v>
      </c>
      <c r="D67" s="27" t="s">
        <v>36</v>
      </c>
      <c r="E67" s="27" t="s">
        <v>105</v>
      </c>
      <c r="F67" s="28" t="s">
        <v>83</v>
      </c>
      <c r="G67" s="29" t="str">
        <f>+CONCATENATE(A67,"-",B67,"-",C67,"-",D67,"-",E67,"-",F67)</f>
        <v>A-NNN.AA-Q-INS-HTP-01</v>
      </c>
      <c r="H67" s="43" t="s">
        <v>69</v>
      </c>
      <c r="I67" s="44"/>
      <c r="J67" s="44"/>
      <c r="K67" s="44"/>
      <c r="L67" s="44"/>
      <c r="M67" s="44"/>
      <c r="N67" s="45"/>
      <c r="O67" s="42" t="s">
        <v>54</v>
      </c>
      <c r="P67" s="30" t="s">
        <v>57</v>
      </c>
      <c r="Q67" s="46" t="s">
        <v>50</v>
      </c>
      <c r="R67" s="47"/>
      <c r="S67" s="48"/>
      <c r="T67" s="49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</row>
    <row r="68" spans="1:79" s="31" customFormat="1" ht="22.5" customHeight="1" x14ac:dyDescent="0.5">
      <c r="A68" s="24" t="str">
        <f t="shared" si="16"/>
        <v>A</v>
      </c>
      <c r="B68" s="25" t="str">
        <f t="shared" si="17"/>
        <v>NNN.AA</v>
      </c>
      <c r="C68" s="26" t="s">
        <v>75</v>
      </c>
      <c r="D68" s="27" t="s">
        <v>42</v>
      </c>
      <c r="E68" s="27" t="s">
        <v>44</v>
      </c>
      <c r="F68" s="28" t="s">
        <v>83</v>
      </c>
      <c r="G68" s="29" t="str">
        <f>+CONCATENATE(A68,"-",B68,"-",C68,"-",D68,"-",E68,"-",F68)</f>
        <v>A-NNN.AA-Q-QAC-PO-01</v>
      </c>
      <c r="H68" s="43" t="s">
        <v>58</v>
      </c>
      <c r="I68" s="44"/>
      <c r="J68" s="44"/>
      <c r="K68" s="44"/>
      <c r="L68" s="44"/>
      <c r="M68" s="44"/>
      <c r="N68" s="45"/>
      <c r="O68" s="42" t="s">
        <v>54</v>
      </c>
      <c r="P68" s="30" t="s">
        <v>57</v>
      </c>
      <c r="Q68" s="46" t="s">
        <v>47</v>
      </c>
      <c r="R68" s="47"/>
      <c r="S68" s="48"/>
      <c r="T68" s="49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</row>
    <row r="69" spans="1:79" s="31" customFormat="1" ht="22.5" customHeight="1" x14ac:dyDescent="0.5">
      <c r="A69" s="24" t="str">
        <f t="shared" si="16"/>
        <v>A</v>
      </c>
      <c r="B69" s="25" t="str">
        <f t="shared" si="17"/>
        <v>NNN.AA</v>
      </c>
      <c r="C69" s="26" t="s">
        <v>75</v>
      </c>
      <c r="D69" s="27" t="s">
        <v>107</v>
      </c>
      <c r="E69" s="27" t="s">
        <v>108</v>
      </c>
      <c r="F69" s="28" t="s">
        <v>83</v>
      </c>
      <c r="G69" s="29" t="str">
        <f t="shared" ref="G69" si="19">+CONCATENATE(A69,"-",B69,"-",C69,"-",D69,"-",E69,"-",F69)</f>
        <v>A-NNN.AA-Q-MAN-MTC-01</v>
      </c>
      <c r="H69" s="73" t="s">
        <v>109</v>
      </c>
      <c r="I69" s="74"/>
      <c r="J69" s="74"/>
      <c r="K69" s="74"/>
      <c r="L69" s="74"/>
      <c r="M69" s="74"/>
      <c r="N69" s="75"/>
      <c r="O69" s="42" t="s">
        <v>55</v>
      </c>
      <c r="P69" s="30" t="s">
        <v>71</v>
      </c>
      <c r="Q69" s="46" t="s">
        <v>50</v>
      </c>
      <c r="R69" s="47"/>
      <c r="S69" s="48"/>
      <c r="T69" s="49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</row>
    <row r="70" spans="1:79" s="31" customFormat="1" ht="22.5" customHeight="1" thickBot="1" x14ac:dyDescent="0.55000000000000004">
      <c r="A70" s="24" t="str">
        <f t="shared" si="16"/>
        <v>A</v>
      </c>
      <c r="B70" s="25" t="str">
        <f t="shared" si="17"/>
        <v>NNN.AA</v>
      </c>
      <c r="C70" s="26" t="s">
        <v>75</v>
      </c>
      <c r="D70" s="27" t="s">
        <v>42</v>
      </c>
      <c r="E70" s="27" t="s">
        <v>44</v>
      </c>
      <c r="F70" s="28" t="s">
        <v>83</v>
      </c>
      <c r="G70" s="29" t="str">
        <f>+CONCATENATE(A70,"-",B70,"-",C70,"-",D70,"-",E70,"-",F70)</f>
        <v>A-NNN.AA-Q-QAC-PO-01</v>
      </c>
      <c r="H70" s="43" t="s">
        <v>49</v>
      </c>
      <c r="I70" s="44"/>
      <c r="J70" s="44"/>
      <c r="K70" s="44"/>
      <c r="L70" s="44"/>
      <c r="M70" s="44"/>
      <c r="N70" s="45"/>
      <c r="O70" s="42" t="s">
        <v>55</v>
      </c>
      <c r="P70" s="30" t="s">
        <v>71</v>
      </c>
      <c r="Q70" s="46" t="s">
        <v>47</v>
      </c>
      <c r="R70" s="47"/>
      <c r="S70" s="48"/>
      <c r="T70" s="49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</row>
    <row r="71" spans="1:79" customFormat="1" ht="18" thickBot="1" x14ac:dyDescent="0.55000000000000004">
      <c r="A71" s="78"/>
      <c r="B71" s="60"/>
      <c r="C71" s="60"/>
      <c r="D71" s="60"/>
      <c r="E71" s="60"/>
      <c r="F71" s="60"/>
      <c r="G71" s="21"/>
      <c r="H71" s="60" t="s">
        <v>26</v>
      </c>
      <c r="I71" s="60"/>
      <c r="J71" s="60"/>
      <c r="K71" s="60"/>
      <c r="L71" s="60"/>
      <c r="M71" s="60"/>
      <c r="N71" s="60"/>
      <c r="O71" s="32"/>
      <c r="P71" s="32"/>
      <c r="Q71" s="33"/>
      <c r="R71" s="34"/>
      <c r="S71" s="60"/>
      <c r="T71" s="61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</row>
    <row r="72" spans="1:79" s="31" customFormat="1" ht="22.5" customHeight="1" x14ac:dyDescent="0.5">
      <c r="A72" s="24" t="str">
        <f>$A$2</f>
        <v>A</v>
      </c>
      <c r="B72" s="25" t="str">
        <f>$A$6</f>
        <v>NNN.AA</v>
      </c>
      <c r="C72" s="26" t="s">
        <v>75</v>
      </c>
      <c r="D72" s="27" t="s">
        <v>42</v>
      </c>
      <c r="E72" s="27" t="s">
        <v>45</v>
      </c>
      <c r="F72" s="28" t="s">
        <v>83</v>
      </c>
      <c r="G72" s="29" t="str">
        <f>+CONCATENATE(A72,"-",B72,"-",C72,"-",D72,"-",E72,"-",F72)</f>
        <v>A-NNN.AA-Q-QAC-DO-01</v>
      </c>
      <c r="H72" s="43" t="s">
        <v>63</v>
      </c>
      <c r="I72" s="44"/>
      <c r="J72" s="44"/>
      <c r="K72" s="44"/>
      <c r="L72" s="44"/>
      <c r="M72" s="44"/>
      <c r="N72" s="45"/>
      <c r="O72" s="42" t="s">
        <v>54</v>
      </c>
      <c r="P72" s="30" t="s">
        <v>56</v>
      </c>
      <c r="Q72" s="69" t="s">
        <v>52</v>
      </c>
      <c r="R72" s="70"/>
      <c r="S72" s="48"/>
      <c r="T72" s="49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</row>
    <row r="73" spans="1:79" s="31" customFormat="1" ht="22.5" customHeight="1" thickBot="1" x14ac:dyDescent="0.55000000000000004">
      <c r="A73" s="24" t="str">
        <f>$A$2</f>
        <v>A</v>
      </c>
      <c r="B73" s="25" t="str">
        <f>$A$6</f>
        <v>NNN.AA</v>
      </c>
      <c r="C73" s="26" t="s">
        <v>75</v>
      </c>
      <c r="D73" s="27" t="s">
        <v>42</v>
      </c>
      <c r="E73" s="27" t="s">
        <v>45</v>
      </c>
      <c r="F73" s="28" t="s">
        <v>83</v>
      </c>
      <c r="G73" s="29" t="str">
        <f>+CONCATENATE(A73,"-",B73,"-",C73,"-",D73,"-",E73,"-",F73)</f>
        <v>A-NNN.AA-Q-QAC-DO-01</v>
      </c>
      <c r="H73" s="43" t="s">
        <v>70</v>
      </c>
      <c r="I73" s="44"/>
      <c r="J73" s="44"/>
      <c r="K73" s="44"/>
      <c r="L73" s="44"/>
      <c r="M73" s="44"/>
      <c r="N73" s="45"/>
      <c r="O73" s="42" t="s">
        <v>54</v>
      </c>
      <c r="P73" s="30" t="s">
        <v>56</v>
      </c>
      <c r="Q73" s="71" t="s">
        <v>53</v>
      </c>
      <c r="R73" s="72"/>
      <c r="S73" s="48"/>
      <c r="T73" s="49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</row>
  </sheetData>
  <autoFilter ref="A9:CA11" xr:uid="{00000000-0009-0000-0000-000002000000}">
    <filterColumn colId="1" showButton="0"/>
    <filterColumn colId="2" showButton="0"/>
    <filterColumn colId="3" showButton="0"/>
    <filterColumn colId="4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6" showButton="0"/>
    <filterColumn colId="18" showButton="0"/>
  </autoFilter>
  <sortState xmlns:xlrd2="http://schemas.microsoft.com/office/spreadsheetml/2017/richdata2" ref="B14:AD513">
    <sortCondition ref="B14:B513"/>
    <sortCondition ref="C14:C513"/>
    <sortCondition ref="D14:D513"/>
    <sortCondition ref="E14:E513"/>
    <sortCondition ref="F14:F513"/>
  </sortState>
  <mergeCells count="211">
    <mergeCell ref="O9:O11"/>
    <mergeCell ref="P9:P11"/>
    <mergeCell ref="M6:N8"/>
    <mergeCell ref="E1:L1"/>
    <mergeCell ref="E2:L8"/>
    <mergeCell ref="S9:T11"/>
    <mergeCell ref="Q9:R11"/>
    <mergeCell ref="S13:T13"/>
    <mergeCell ref="Q12:R12"/>
    <mergeCell ref="S12:T12"/>
    <mergeCell ref="O5:R5"/>
    <mergeCell ref="O6:R8"/>
    <mergeCell ref="M1:N1"/>
    <mergeCell ref="M2:N4"/>
    <mergeCell ref="O1:P1"/>
    <mergeCell ref="O2:P4"/>
    <mergeCell ref="Q1:R1"/>
    <mergeCell ref="Q2:R4"/>
    <mergeCell ref="M5:N5"/>
    <mergeCell ref="S1:T8"/>
    <mergeCell ref="A1:D1"/>
    <mergeCell ref="A5:D5"/>
    <mergeCell ref="A6:D8"/>
    <mergeCell ref="S14:T14"/>
    <mergeCell ref="H23:N23"/>
    <mergeCell ref="S23:T23"/>
    <mergeCell ref="S15:T15"/>
    <mergeCell ref="Q15:R15"/>
    <mergeCell ref="S20:T20"/>
    <mergeCell ref="B9:F9"/>
    <mergeCell ref="G9:G11"/>
    <mergeCell ref="H9:N11"/>
    <mergeCell ref="Q19:R19"/>
    <mergeCell ref="A21:B21"/>
    <mergeCell ref="C21:D21"/>
    <mergeCell ref="E21:F21"/>
    <mergeCell ref="H21:N21"/>
    <mergeCell ref="H22:N22"/>
    <mergeCell ref="Q22:R22"/>
    <mergeCell ref="H14:N14"/>
    <mergeCell ref="H15:N15"/>
    <mergeCell ref="A2:D4"/>
    <mergeCell ref="A12:P12"/>
    <mergeCell ref="H13:N13"/>
    <mergeCell ref="S26:T26"/>
    <mergeCell ref="S25:T25"/>
    <mergeCell ref="S19:T19"/>
    <mergeCell ref="S21:T21"/>
    <mergeCell ref="S22:T22"/>
    <mergeCell ref="H27:N27"/>
    <mergeCell ref="Q27:R27"/>
    <mergeCell ref="H25:N25"/>
    <mergeCell ref="Q25:R25"/>
    <mergeCell ref="A36:B36"/>
    <mergeCell ref="C36:D36"/>
    <mergeCell ref="E36:F36"/>
    <mergeCell ref="Q34:R34"/>
    <mergeCell ref="S34:T34"/>
    <mergeCell ref="S30:T30"/>
    <mergeCell ref="A31:B31"/>
    <mergeCell ref="C31:D31"/>
    <mergeCell ref="E31:F31"/>
    <mergeCell ref="H31:N31"/>
    <mergeCell ref="S31:T31"/>
    <mergeCell ref="H30:N30"/>
    <mergeCell ref="Q30:R30"/>
    <mergeCell ref="H33:N33"/>
    <mergeCell ref="Q33:R33"/>
    <mergeCell ref="S33:T33"/>
    <mergeCell ref="A39:B39"/>
    <mergeCell ref="C39:D39"/>
    <mergeCell ref="E39:F39"/>
    <mergeCell ref="H40:N40"/>
    <mergeCell ref="Q40:R40"/>
    <mergeCell ref="S40:T40"/>
    <mergeCell ref="H41:N41"/>
    <mergeCell ref="Q41:R41"/>
    <mergeCell ref="S41:T41"/>
    <mergeCell ref="H56:N56"/>
    <mergeCell ref="Q56:R56"/>
    <mergeCell ref="S56:T56"/>
    <mergeCell ref="H57:N57"/>
    <mergeCell ref="Q57:R57"/>
    <mergeCell ref="S57:T57"/>
    <mergeCell ref="H52:N52"/>
    <mergeCell ref="Q52:R52"/>
    <mergeCell ref="S52:T52"/>
    <mergeCell ref="A43:B43"/>
    <mergeCell ref="C43:D43"/>
    <mergeCell ref="E43:F43"/>
    <mergeCell ref="H43:N43"/>
    <mergeCell ref="S43:T43"/>
    <mergeCell ref="Q47:R47"/>
    <mergeCell ref="S47:T47"/>
    <mergeCell ref="H48:N48"/>
    <mergeCell ref="Q48:R48"/>
    <mergeCell ref="S48:T48"/>
    <mergeCell ref="A71:B71"/>
    <mergeCell ref="C71:D71"/>
    <mergeCell ref="E71:F71"/>
    <mergeCell ref="H71:N71"/>
    <mergeCell ref="H63:N63"/>
    <mergeCell ref="Q63:R63"/>
    <mergeCell ref="S63:T63"/>
    <mergeCell ref="H67:N67"/>
    <mergeCell ref="Q67:R67"/>
    <mergeCell ref="H70:N70"/>
    <mergeCell ref="Q70:R70"/>
    <mergeCell ref="S70:T70"/>
    <mergeCell ref="S71:T71"/>
    <mergeCell ref="H64:N64"/>
    <mergeCell ref="H65:N65"/>
    <mergeCell ref="H66:N66"/>
    <mergeCell ref="Q64:R64"/>
    <mergeCell ref="Q65:R65"/>
    <mergeCell ref="Q66:R66"/>
    <mergeCell ref="S64:T64"/>
    <mergeCell ref="S65:T65"/>
    <mergeCell ref="S66:T66"/>
    <mergeCell ref="S67:T67"/>
    <mergeCell ref="H68:N68"/>
    <mergeCell ref="H62:N62"/>
    <mergeCell ref="S62:T62"/>
    <mergeCell ref="H58:N58"/>
    <mergeCell ref="S58:T58"/>
    <mergeCell ref="H59:N59"/>
    <mergeCell ref="S59:T59"/>
    <mergeCell ref="H60:N60"/>
    <mergeCell ref="Q60:R60"/>
    <mergeCell ref="S60:T60"/>
    <mergeCell ref="H61:N61"/>
    <mergeCell ref="S61:T61"/>
    <mergeCell ref="Q61:R61"/>
    <mergeCell ref="Q62:R62"/>
    <mergeCell ref="Q68:R68"/>
    <mergeCell ref="S68:T68"/>
    <mergeCell ref="H72:N72"/>
    <mergeCell ref="Q72:R72"/>
    <mergeCell ref="S72:T72"/>
    <mergeCell ref="H73:N73"/>
    <mergeCell ref="Q73:R73"/>
    <mergeCell ref="S73:T73"/>
    <mergeCell ref="H69:N69"/>
    <mergeCell ref="Q69:R69"/>
    <mergeCell ref="S69:T69"/>
    <mergeCell ref="H47:N47"/>
    <mergeCell ref="H28:N28"/>
    <mergeCell ref="Q28:R28"/>
    <mergeCell ref="S28:T28"/>
    <mergeCell ref="H38:N38"/>
    <mergeCell ref="Q38:R38"/>
    <mergeCell ref="S38:T38"/>
    <mergeCell ref="H32:N32"/>
    <mergeCell ref="Q32:R32"/>
    <mergeCell ref="S32:T32"/>
    <mergeCell ref="H35:N35"/>
    <mergeCell ref="Q35:R35"/>
    <mergeCell ref="S35:T35"/>
    <mergeCell ref="H36:N36"/>
    <mergeCell ref="S36:T36"/>
    <mergeCell ref="H37:N37"/>
    <mergeCell ref="Q37:R37"/>
    <mergeCell ref="S37:T37"/>
    <mergeCell ref="H34:N34"/>
    <mergeCell ref="H29:N29"/>
    <mergeCell ref="Q29:R29"/>
    <mergeCell ref="S29:T29"/>
    <mergeCell ref="H44:N44"/>
    <mergeCell ref="Q44:R44"/>
    <mergeCell ref="S16:T16"/>
    <mergeCell ref="S17:T17"/>
    <mergeCell ref="S18:T18"/>
    <mergeCell ref="Q18:R18"/>
    <mergeCell ref="Q17:R17"/>
    <mergeCell ref="Q16:R16"/>
    <mergeCell ref="H45:N45"/>
    <mergeCell ref="S45:T45"/>
    <mergeCell ref="H46:N46"/>
    <mergeCell ref="S46:T46"/>
    <mergeCell ref="S44:T44"/>
    <mergeCell ref="H39:N39"/>
    <mergeCell ref="S39:T39"/>
    <mergeCell ref="H42:N42"/>
    <mergeCell ref="Q42:R42"/>
    <mergeCell ref="S42:T42"/>
    <mergeCell ref="S27:T27"/>
    <mergeCell ref="H24:N24"/>
    <mergeCell ref="Q24:R24"/>
    <mergeCell ref="S24:T24"/>
    <mergeCell ref="H26:N26"/>
    <mergeCell ref="H20:N20"/>
    <mergeCell ref="H19:N19"/>
    <mergeCell ref="Q26:R26"/>
    <mergeCell ref="H55:N55"/>
    <mergeCell ref="Q55:R55"/>
    <mergeCell ref="S55:T55"/>
    <mergeCell ref="H49:N49"/>
    <mergeCell ref="Q49:R49"/>
    <mergeCell ref="S49:T49"/>
    <mergeCell ref="H50:N50"/>
    <mergeCell ref="Q50:R50"/>
    <mergeCell ref="S50:T50"/>
    <mergeCell ref="H51:N51"/>
    <mergeCell ref="Q51:R51"/>
    <mergeCell ref="S51:T51"/>
    <mergeCell ref="H53:N53"/>
    <mergeCell ref="Q53:R53"/>
    <mergeCell ref="S53:T53"/>
    <mergeCell ref="H54:N54"/>
    <mergeCell ref="Q54:R54"/>
    <mergeCell ref="S54:T54"/>
  </mergeCells>
  <phoneticPr fontId="20" type="noConversion"/>
  <pageMargins left="0.59055118110236227" right="0.39370078740157483" top="0.62992125984251968" bottom="0.39370078740157483" header="0.35433070866141736" footer="0.19685039370078741"/>
  <pageSetup paperSize="8" scale="45" fitToHeight="7" orientation="landscape" r:id="rId1"/>
  <headerFooter alignWithMargins="0">
    <oddHeader xml:space="preserve">&amp;R&amp;"Trebuchet MS,Normal"&amp;9&amp;K04+000
</oddHeader>
    <oddFooter>&amp;R&amp;"Arial,Negrita"&amp;14 PAGE &amp;P /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6E03B-09AE-4580-B06A-31E06D2706C8}">
  <dimension ref="A1:B5"/>
  <sheetViews>
    <sheetView workbookViewId="0">
      <selection activeCell="A6" sqref="A6"/>
    </sheetView>
  </sheetViews>
  <sheetFormatPr baseColWidth="10" defaultRowHeight="12.7" x14ac:dyDescent="0.4"/>
  <cols>
    <col min="2" max="2" width="24.64453125" customWidth="1"/>
  </cols>
  <sheetData>
    <row r="1" spans="1:2" x14ac:dyDescent="0.4">
      <c r="A1" s="40" t="s">
        <v>76</v>
      </c>
      <c r="B1" s="40" t="s">
        <v>77</v>
      </c>
    </row>
    <row r="2" spans="1:2" x14ac:dyDescent="0.4">
      <c r="A2" s="40" t="s">
        <v>78</v>
      </c>
      <c r="B2" s="40" t="s">
        <v>79</v>
      </c>
    </row>
    <row r="3" spans="1:2" x14ac:dyDescent="0.4">
      <c r="A3" s="40" t="s">
        <v>84</v>
      </c>
      <c r="B3" s="40" t="s">
        <v>86</v>
      </c>
    </row>
    <row r="4" spans="1:2" x14ac:dyDescent="0.4">
      <c r="A4" s="40" t="s">
        <v>85</v>
      </c>
      <c r="B4" s="40" t="s">
        <v>87</v>
      </c>
    </row>
    <row r="5" spans="1:2" x14ac:dyDescent="0.4">
      <c r="A5" s="40" t="s">
        <v>88</v>
      </c>
      <c r="B5" s="40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Hoja2</vt:lpstr>
      <vt:lpstr>Hoja1!Área_de_impresión</vt:lpstr>
      <vt:lpstr>Hoja1!Títulos_a_imprimir</vt:lpstr>
    </vt:vector>
  </TitlesOfParts>
  <Company>SENER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29172</dc:creator>
  <cp:lastModifiedBy>David Fernández Esteban</cp:lastModifiedBy>
  <cp:lastPrinted>2020-02-14T14:09:13Z</cp:lastPrinted>
  <dcterms:created xsi:type="dcterms:W3CDTF">2004-07-12T08:18:06Z</dcterms:created>
  <dcterms:modified xsi:type="dcterms:W3CDTF">2020-10-26T10:18:44Z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