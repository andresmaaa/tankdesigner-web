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rtn002\Datos\SERVIDOR ARTEIN GRUPO\ARTEIN\Ingenieria\Plantillas\"/>
    </mc:Choice>
  </mc:AlternateContent>
  <xr:revisionPtr revIDLastSave="0" documentId="13_ncr:1_{F2862932-06ED-448A-A631-7EC01FEC12DA}" xr6:coauthVersionLast="47" xr6:coauthVersionMax="47" xr10:uidLastSave="{00000000-0000-0000-0000-000000000000}"/>
  <bookViews>
    <workbookView xWindow="-96" yWindow="-96" windowWidth="23232" windowHeight="12552" xr2:uid="{CE8F8BD9-F3C8-4363-944D-728853381867}"/>
  </bookViews>
  <sheets>
    <sheet name="Cimentaciones" sheetId="1" r:id="rId1"/>
    <sheet name="Tanques" sheetId="2" r:id="rId2"/>
    <sheet name="Techos" sheetId="3" r:id="rId3"/>
    <sheet name="Costes y PVs" sheetId="4" r:id="rId4"/>
    <sheet name="List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12" i="1" s="1"/>
</calcChain>
</file>

<file path=xl/sharedStrings.xml><?xml version="1.0" encoding="utf-8"?>
<sst xmlns="http://schemas.openxmlformats.org/spreadsheetml/2006/main" count="49" uniqueCount="37">
  <si>
    <t>Tanque 1</t>
  </si>
  <si>
    <t>Tanque 2</t>
  </si>
  <si>
    <t>Tanque 3</t>
  </si>
  <si>
    <t>Tanque 4</t>
  </si>
  <si>
    <t>Tanque 5</t>
  </si>
  <si>
    <t>Tanque 6</t>
  </si>
  <si>
    <t>Tanque 7</t>
  </si>
  <si>
    <t>Tanque 8</t>
  </si>
  <si>
    <t>Tanque 9</t>
  </si>
  <si>
    <t>Tanque 10</t>
  </si>
  <si>
    <t>Volumen</t>
  </si>
  <si>
    <t>Diámetro</t>
  </si>
  <si>
    <t>Sismo</t>
  </si>
  <si>
    <t>Pilotes / Suelo inestable</t>
  </si>
  <si>
    <t xml:space="preserve">Memoria </t>
  </si>
  <si>
    <t>Planos constructivos</t>
  </si>
  <si>
    <t>3D</t>
  </si>
  <si>
    <t>Precio</t>
  </si>
  <si>
    <t>Item</t>
  </si>
  <si>
    <t>Precio por hora/unidad</t>
  </si>
  <si>
    <t>Coste ingeniería hora</t>
  </si>
  <si>
    <t>Precio venta ingenieria hora</t>
  </si>
  <si>
    <t>Plano</t>
  </si>
  <si>
    <t>Memoria de cálculo cimentación</t>
  </si>
  <si>
    <t>Memoria de cálculo tanque</t>
  </si>
  <si>
    <t>Memoria de cálculo techo</t>
  </si>
  <si>
    <t>Memoria de cálculo pieza</t>
  </si>
  <si>
    <t>Memoria de cálculo ensamblaje</t>
  </si>
  <si>
    <t>Memoria de cálculo ensamblaje con soldadura</t>
  </si>
  <si>
    <t>3D cimentación</t>
  </si>
  <si>
    <t>3D tanque</t>
  </si>
  <si>
    <t>3D techo</t>
  </si>
  <si>
    <t>3D pieza</t>
  </si>
  <si>
    <t>3D ensamblaje</t>
  </si>
  <si>
    <t>3D ensamblaje con soldadura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</si>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</sst>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/>
    <xf numFmtId="165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7AD8-F41C-4243-8E17-0AF527654658}">
  <dimension ref="A1:I16"/>
  <sheetViews>
    <sheetView tabSelected="1" workbookViewId="0">
      <selection activeCell="I3" sqref="I3"/>
    </sheetView>
  </sheetViews>
  <sheetFormatPr baseColWidth="10" defaultRowHeight="14.4" x14ac:dyDescent="0.55000000000000004"/>
  <cols>
    <col min="4" max="4" width="10.9453125" style="6"/>
    <col min="5" max="5" width="21.15625" customWidth="1"/>
    <col min="7" max="7" width="20.5234375" customWidth="1"/>
  </cols>
  <sheetData>
    <row r="1" spans="1:9" x14ac:dyDescent="0.55000000000000004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2" t="s">
        <v>17</v>
      </c>
    </row>
    <row r="2" spans="1:9" x14ac:dyDescent="0.55000000000000004">
      <c r="A2" t="s">
        <v>0</v>
      </c>
      <c r="B2" s="5">
        <v>500</v>
      </c>
      <c r="C2" s="5">
        <v>22</v>
      </c>
      <c r="D2" s="6" t="s">
        <v>35</v>
      </c>
      <c r="E2" s="1" t="s">
        <v>36</v>
      </c>
      <c r="F2" s="1" t="s">
        <v>35</v>
      </c>
      <c r="G2" s="7">
        <v>1</v>
      </c>
      <c r="H2" s="1" t="s">
        <v>35</v>
      </c>
      <c r="I2" s="3">
        <f>((IF(H2="Si",'Costes y PVs'!B11,0))+(IF(F2="Si",'Costes y PVs'!B5,0))+(G2*'Costes y PVs'!B4))</f>
        <v>3100</v>
      </c>
    </row>
    <row r="3" spans="1:9" x14ac:dyDescent="0.55000000000000004">
      <c r="A3" t="s">
        <v>1</v>
      </c>
      <c r="B3" s="5">
        <v>750</v>
      </c>
      <c r="C3" s="5">
        <v>16</v>
      </c>
      <c r="D3" s="6" t="s">
        <v>35</v>
      </c>
      <c r="E3" s="1" t="s">
        <v>36</v>
      </c>
      <c r="F3" s="1" t="s">
        <v>35</v>
      </c>
      <c r="G3" s="7">
        <v>1</v>
      </c>
      <c r="H3" s="1" t="s">
        <v>35</v>
      </c>
      <c r="I3" s="3"/>
    </row>
    <row r="4" spans="1:9" x14ac:dyDescent="0.55000000000000004">
      <c r="A4" t="s">
        <v>2</v>
      </c>
      <c r="B4" s="5">
        <v>2250</v>
      </c>
      <c r="C4" s="5">
        <v>9.5</v>
      </c>
      <c r="D4" s="6" t="s">
        <v>35</v>
      </c>
      <c r="E4" s="1" t="s">
        <v>36</v>
      </c>
      <c r="F4" s="1" t="s">
        <v>35</v>
      </c>
      <c r="G4" s="7">
        <v>1</v>
      </c>
      <c r="H4" s="1" t="s">
        <v>35</v>
      </c>
      <c r="I4" s="3"/>
    </row>
    <row r="5" spans="1:9" x14ac:dyDescent="0.55000000000000004">
      <c r="A5" t="s">
        <v>3</v>
      </c>
      <c r="B5" s="5"/>
      <c r="C5" s="5"/>
      <c r="E5" s="1"/>
      <c r="F5" s="1"/>
      <c r="G5" s="7"/>
      <c r="H5" s="1"/>
      <c r="I5" s="3"/>
    </row>
    <row r="6" spans="1:9" x14ac:dyDescent="0.55000000000000004">
      <c r="A6" t="s">
        <v>4</v>
      </c>
      <c r="B6" s="5"/>
      <c r="C6" s="5"/>
      <c r="E6" s="1"/>
      <c r="F6" s="1"/>
      <c r="G6" s="7"/>
      <c r="H6" s="1"/>
      <c r="I6" s="3"/>
    </row>
    <row r="7" spans="1:9" x14ac:dyDescent="0.55000000000000004">
      <c r="A7" t="s">
        <v>5</v>
      </c>
      <c r="B7" s="5"/>
      <c r="C7" s="5"/>
      <c r="E7" s="1"/>
      <c r="F7" s="1"/>
      <c r="G7" s="7"/>
      <c r="H7" s="1"/>
      <c r="I7" s="3"/>
    </row>
    <row r="8" spans="1:9" x14ac:dyDescent="0.55000000000000004">
      <c r="A8" t="s">
        <v>6</v>
      </c>
      <c r="B8" s="5"/>
      <c r="C8" s="5"/>
      <c r="E8" s="1"/>
      <c r="F8" s="1"/>
      <c r="G8" s="7"/>
      <c r="H8" s="1"/>
      <c r="I8" s="3"/>
    </row>
    <row r="9" spans="1:9" x14ac:dyDescent="0.55000000000000004">
      <c r="A9" t="s">
        <v>7</v>
      </c>
      <c r="B9" s="5"/>
      <c r="C9" s="5"/>
      <c r="E9" s="1"/>
      <c r="F9" s="1"/>
      <c r="G9" s="7"/>
      <c r="H9" s="1"/>
      <c r="I9" s="3"/>
    </row>
    <row r="10" spans="1:9" x14ac:dyDescent="0.55000000000000004">
      <c r="A10" t="s">
        <v>8</v>
      </c>
      <c r="B10" s="5"/>
      <c r="C10" s="5"/>
      <c r="E10" s="1"/>
      <c r="F10" s="1"/>
      <c r="G10" s="7"/>
      <c r="H10" s="1"/>
      <c r="I10" s="3"/>
    </row>
    <row r="11" spans="1:9" x14ac:dyDescent="0.55000000000000004">
      <c r="A11" t="s">
        <v>9</v>
      </c>
      <c r="B11" s="5"/>
      <c r="C11" s="5"/>
      <c r="E11" s="1"/>
      <c r="F11" s="1"/>
      <c r="G11" s="7"/>
      <c r="H11" s="1"/>
      <c r="I11" s="3"/>
    </row>
    <row r="12" spans="1:9" x14ac:dyDescent="0.55000000000000004">
      <c r="G12" s="5"/>
      <c r="I12" s="4">
        <f>SUM(I2:I11)</f>
        <v>3100</v>
      </c>
    </row>
    <row r="16" spans="1:9" x14ac:dyDescent="0.55000000000000004">
      <c r="C16" s="3"/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45EDDB-1A6D-4221-A89C-BFDB83B732A6}">
          <x14:formula1>
            <xm:f>Listas!$A$1:$A$2</xm:f>
          </x14:formula1>
          <xm:sqref>D2:D11 E2:E11 F2:F11 H2:H11</xm:sqref>
        </x14:dataValidation>
        <x14:dataValidation type="list" allowBlank="1" showInputMessage="1" showErrorMessage="1" xr:uid="{BAB12613-94FC-4DA7-9A17-58C57FD03ED3}">
          <x14:formula1>
            <xm:f>Listas!$B$1:$B$11</xm:f>
          </x14:formula1>
          <xm:sqref>G2:G12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59C2-0C1F-478D-9EF6-DD724543F65F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BBA2-33FF-4E40-A1A8-C931095C3E82}">
  <dimension ref="A1"/>
  <sheetViews>
    <sheetView workbookViewId="0">
      <selection activeCell="D24" sqref="D24"/>
    </sheetView>
  </sheetViews>
  <sheetFormatPr baseColWidth="10" defaultRowHeight="14.4" x14ac:dyDescent="0.5500000000000000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2F99-4F45-43BF-B7D2-F07873EDC789}">
  <dimension ref="A1:B16"/>
  <sheetViews>
    <sheetView workbookViewId="0">
      <selection activeCell="A17" sqref="A17"/>
    </sheetView>
  </sheetViews>
  <sheetFormatPr baseColWidth="10" defaultRowHeight="14.4" x14ac:dyDescent="0.55000000000000004"/>
  <cols>
    <col min="1" max="1" width="37.5234375" bestFit="1" customWidth="1"/>
    <col min="2" max="2" width="24.20703125" customWidth="1"/>
  </cols>
  <sheetData>
    <row r="1" spans="1:2" x14ac:dyDescent="0.55000000000000004">
      <c r="A1" s="2" t="s">
        <v>18</v>
      </c>
      <c r="B1" s="2" t="s">
        <v>19</v>
      </c>
    </row>
    <row r="2" spans="1:2" x14ac:dyDescent="0.55000000000000004">
      <c r="A2" t="s">
        <v>20</v>
      </c>
    </row>
    <row r="3" spans="1:2" x14ac:dyDescent="0.55000000000000004">
      <c r="A3" t="s">
        <v>21</v>
      </c>
      <c r="B3" s="3">
        <v>68</v>
      </c>
    </row>
    <row r="4" spans="1:2" x14ac:dyDescent="0.55000000000000004">
      <c r="A4" t="s">
        <v>22</v>
      </c>
      <c r="B4" s="3">
        <v>100</v>
      </c>
    </row>
    <row r="5" spans="1:2" x14ac:dyDescent="0.55000000000000004">
      <c r="A5" t="s">
        <v>23</v>
      </c>
      <c r="B5" s="3">
        <v>1800</v>
      </c>
    </row>
    <row r="6" spans="1:2" x14ac:dyDescent="0.55000000000000004">
      <c r="A6" t="s">
        <v>24</v>
      </c>
      <c r="B6" s="3">
        <v>1200</v>
      </c>
    </row>
    <row r="7" spans="1:2" x14ac:dyDescent="0.55000000000000004">
      <c r="A7" t="s">
        <v>25</v>
      </c>
      <c r="B7" s="3">
        <v>1600</v>
      </c>
    </row>
    <row r="8" spans="1:2" x14ac:dyDescent="0.55000000000000004">
      <c r="A8" t="s">
        <v>26</v>
      </c>
      <c r="B8" s="3">
        <v>600</v>
      </c>
    </row>
    <row r="9" spans="1:2" x14ac:dyDescent="0.55000000000000004">
      <c r="A9" t="s">
        <v>27</v>
      </c>
      <c r="B9" s="3">
        <v>1750</v>
      </c>
    </row>
    <row r="10" spans="1:2" x14ac:dyDescent="0.55000000000000004">
      <c r="A10" t="s">
        <v>28</v>
      </c>
      <c r="B10" s="3">
        <v>2200</v>
      </c>
    </row>
    <row r="11" spans="1:2" x14ac:dyDescent="0.55000000000000004">
      <c r="A11" t="s">
        <v>29</v>
      </c>
      <c r="B11" s="3">
        <v>1200</v>
      </c>
    </row>
    <row r="12" spans="1:2" x14ac:dyDescent="0.55000000000000004">
      <c r="A12" t="s">
        <v>30</v>
      </c>
      <c r="B12" s="3">
        <v>800</v>
      </c>
    </row>
    <row r="13" spans="1:2" x14ac:dyDescent="0.55000000000000004">
      <c r="A13" t="s">
        <v>31</v>
      </c>
      <c r="B13" s="3">
        <v>1000</v>
      </c>
    </row>
    <row r="14" spans="1:2" x14ac:dyDescent="0.55000000000000004">
      <c r="A14" t="s">
        <v>32</v>
      </c>
      <c r="B14" s="3">
        <v>250</v>
      </c>
    </row>
    <row r="15" spans="1:2" x14ac:dyDescent="0.55000000000000004">
      <c r="A15" t="s">
        <v>33</v>
      </c>
      <c r="B15" s="3">
        <v>500</v>
      </c>
    </row>
    <row r="16" spans="1:2" x14ac:dyDescent="0.55000000000000004">
      <c r="A16" t="s">
        <v>34</v>
      </c>
      <c r="B16" s="3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32F1-8A07-4F74-9344-D9F3673121A7}">
  <dimension ref="A1:B11"/>
  <sheetViews>
    <sheetView workbookViewId="0">
      <selection activeCell="B12" sqref="B12"/>
    </sheetView>
  </sheetViews>
  <sheetFormatPr baseColWidth="10" defaultRowHeight="14.4" x14ac:dyDescent="0.55000000000000004"/>
  <sheetData>
    <row r="1" spans="1:2" x14ac:dyDescent="0.55000000000000004">
      <c r="A1" t="s">
        <v>35</v>
      </c>
      <c r="B1">
        <v>1</v>
      </c>
    </row>
    <row r="2" spans="1:2" x14ac:dyDescent="0.55000000000000004">
      <c r="A2" t="s">
        <v>36</v>
      </c>
      <c r="B2">
        <v>2</v>
      </c>
    </row>
    <row r="3" spans="1:2" x14ac:dyDescent="0.55000000000000004">
      <c r="B3">
        <v>3</v>
      </c>
    </row>
    <row r="4" spans="1:2" x14ac:dyDescent="0.55000000000000004">
      <c r="B4">
        <v>4</v>
      </c>
    </row>
    <row r="5" spans="1:2" x14ac:dyDescent="0.55000000000000004">
      <c r="B5">
        <v>5</v>
      </c>
    </row>
    <row r="6" spans="1:2" x14ac:dyDescent="0.55000000000000004">
      <c r="B6">
        <v>6</v>
      </c>
    </row>
    <row r="7" spans="1:2" x14ac:dyDescent="0.55000000000000004">
      <c r="B7">
        <v>7</v>
      </c>
    </row>
    <row r="8" spans="1:2" x14ac:dyDescent="0.55000000000000004">
      <c r="B8">
        <v>8</v>
      </c>
    </row>
    <row r="9" spans="1:2" x14ac:dyDescent="0.55000000000000004">
      <c r="B9">
        <v>9</v>
      </c>
    </row>
    <row r="10" spans="1:2" x14ac:dyDescent="0.55000000000000004">
      <c r="B10">
        <v>10</v>
      </c>
    </row>
    <row r="11" spans="1:2" x14ac:dyDescent="0.55000000000000004">
      <c r="B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Cimentaciones</vt:lpstr>
      <vt:lpstr>Tanques</vt:lpstr>
      <vt:lpstr>Techos</vt:lpstr>
      <vt:lpstr>Costes y PVs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de la Rubia</dc:creator>
  <cp:lastModifiedBy>David de la Rubia</cp:lastModifiedBy>
  <dcterms:created xsi:type="dcterms:W3CDTF">2021-07-21T11:44:31Z</dcterms:created>
  <dcterms:modified xsi:type="dcterms:W3CDTF">2021-07-21T12:40:01Z</dcterms:modified>
</cp:coreProperties>
</file>