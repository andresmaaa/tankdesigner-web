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codeName="ThisWorkbook"/>
  <mc:AlternateContent xmlns:mc="http://schemas.openxmlformats.org/markup-compatibility/2006">
    <mc:Choice Requires="x15">
      <x15ac:absPath xmlns:x15ac="http://schemas.microsoft.com/office/spreadsheetml/2010/11/ac" url="Z:\SERVIDOR ARTEIN GRUPO\ARTEIN\Ingenieria\Plantillas\Proyectos\A-NNN.AA [CLIENTE] [CIUDAD - PAÍS]\Project Management\Control de Costes\"/>
    </mc:Choice>
  </mc:AlternateContent>
  <xr:revisionPtr revIDLastSave="0" documentId="13_ncr:1_{AAE69983-B84F-416E-AEE9-7BDC644FA587}" xr6:coauthVersionLast="45" xr6:coauthVersionMax="45" xr10:uidLastSave="{00000000-0000-0000-0000-000000000000}"/>
  <bookViews>
    <workbookView xWindow="-120" yWindow="-120" windowWidth="29040" windowHeight="15840" tabRatio="1000" xr2:uid="{00000000-000D-0000-FFFF-FFFF00000000}"/>
  </bookViews>
  <sheets>
    <sheet name="Principal" sheetId="12" r:id="rId1"/>
    <sheet name="Forma de Pago" sheetId="13" r:id="rId2"/>
    <sheet name="Cash Flow (Previsto)" sheetId="17" r:id="rId3"/>
    <sheet name="Gráfico Cash Flow (Previsto)" sheetId="18" r:id="rId4"/>
    <sheet name="Cash Flow (Actual)" sheetId="21" r:id="rId5"/>
    <sheet name="Gráfico Cash Flow (Actual)" sheetId="22" r:id="rId6"/>
  </sheets>
  <definedNames>
    <definedName name="_Fill" localSheetId="4" hidden="1">#REF!</definedName>
    <definedName name="_Fill" localSheetId="2" hidden="1">#REF!</definedName>
    <definedName name="_Fill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7" i="21" l="1"/>
  <c r="G17" i="21"/>
  <c r="H17" i="21"/>
  <c r="I17" i="21"/>
  <c r="J17" i="21"/>
  <c r="K17" i="21"/>
  <c r="L17" i="21"/>
  <c r="M17" i="21"/>
  <c r="N17" i="21"/>
  <c r="O17" i="21"/>
  <c r="P17" i="21"/>
  <c r="E17" i="21"/>
  <c r="F4" i="21"/>
  <c r="G4" i="21"/>
  <c r="H4" i="21"/>
  <c r="I4" i="21"/>
  <c r="J4" i="21"/>
  <c r="K4" i="21"/>
  <c r="L4" i="21"/>
  <c r="M4" i="21"/>
  <c r="N4" i="21"/>
  <c r="O4" i="21"/>
  <c r="P4" i="21"/>
  <c r="E4" i="21"/>
  <c r="D27" i="17"/>
  <c r="D23" i="17"/>
  <c r="D24" i="17"/>
  <c r="F17" i="17"/>
  <c r="G17" i="17"/>
  <c r="H17" i="17"/>
  <c r="I17" i="17"/>
  <c r="J17" i="17"/>
  <c r="K17" i="17"/>
  <c r="L17" i="17"/>
  <c r="M17" i="17"/>
  <c r="N17" i="17"/>
  <c r="O17" i="17"/>
  <c r="P17" i="17"/>
  <c r="E17" i="17"/>
  <c r="J29" i="12"/>
  <c r="J23" i="12"/>
  <c r="J24" i="12"/>
  <c r="J25" i="12"/>
  <c r="J26" i="12"/>
  <c r="G21" i="13"/>
  <c r="D20" i="17" s="1"/>
  <c r="G22" i="13"/>
  <c r="D21" i="17" s="1"/>
  <c r="G23" i="13"/>
  <c r="D22" i="17" s="1"/>
  <c r="G24" i="13"/>
  <c r="G25" i="13"/>
  <c r="G26" i="13"/>
  <c r="D25" i="17" s="1"/>
  <c r="G28" i="13"/>
  <c r="G20" i="13" l="1"/>
  <c r="D19" i="17" s="1"/>
  <c r="G19" i="13"/>
  <c r="D18" i="17" s="1"/>
  <c r="C20" i="13"/>
  <c r="C21" i="13"/>
  <c r="C22" i="13"/>
  <c r="C23" i="13"/>
  <c r="C24" i="13"/>
  <c r="C25" i="13"/>
  <c r="C26" i="13"/>
  <c r="C28" i="13"/>
  <c r="C19" i="13"/>
  <c r="E8" i="12"/>
  <c r="E30" i="17" l="1"/>
  <c r="P30" i="21"/>
  <c r="O30" i="21"/>
  <c r="N30" i="21"/>
  <c r="M30" i="21"/>
  <c r="L30" i="21"/>
  <c r="K30" i="21"/>
  <c r="H30" i="21"/>
  <c r="C27" i="21"/>
  <c r="B27" i="21"/>
  <c r="C26" i="21"/>
  <c r="B26" i="21"/>
  <c r="C25" i="21"/>
  <c r="B25" i="21"/>
  <c r="C24" i="21"/>
  <c r="B24" i="21"/>
  <c r="C23" i="21"/>
  <c r="B23" i="21"/>
  <c r="C22" i="21"/>
  <c r="B22" i="21"/>
  <c r="C21" i="21"/>
  <c r="B21" i="21"/>
  <c r="C20" i="21"/>
  <c r="B20" i="21"/>
  <c r="C19" i="21"/>
  <c r="B19" i="21"/>
  <c r="C18" i="21"/>
  <c r="B18" i="21"/>
  <c r="D14" i="21"/>
  <c r="C14" i="21"/>
  <c r="B14" i="21"/>
  <c r="D13" i="21"/>
  <c r="C13" i="21"/>
  <c r="B13" i="21"/>
  <c r="D12" i="21"/>
  <c r="C12" i="21"/>
  <c r="B12" i="21"/>
  <c r="D11" i="21"/>
  <c r="C11" i="21"/>
  <c r="B11" i="21"/>
  <c r="D10" i="21"/>
  <c r="C10" i="21"/>
  <c r="B10" i="21"/>
  <c r="C9" i="21"/>
  <c r="B9" i="21"/>
  <c r="C8" i="21"/>
  <c r="B8" i="21"/>
  <c r="C7" i="21"/>
  <c r="B7" i="21"/>
  <c r="C6" i="21"/>
  <c r="B6" i="21"/>
  <c r="C5" i="21"/>
  <c r="B5" i="21"/>
  <c r="D18" i="21"/>
  <c r="F30" i="21" s="1"/>
  <c r="C19" i="17"/>
  <c r="C20" i="17"/>
  <c r="C21" i="17"/>
  <c r="C22" i="17"/>
  <c r="C23" i="17"/>
  <c r="C24" i="17"/>
  <c r="C25" i="17"/>
  <c r="C26" i="17"/>
  <c r="C27" i="17"/>
  <c r="C18" i="17"/>
  <c r="B22" i="17"/>
  <c r="B23" i="17"/>
  <c r="B24" i="17"/>
  <c r="B25" i="17"/>
  <c r="B26" i="17"/>
  <c r="B27" i="17"/>
  <c r="B19" i="17"/>
  <c r="B20" i="17"/>
  <c r="B21" i="17"/>
  <c r="B18" i="17"/>
  <c r="D19" i="21" l="1"/>
  <c r="D20" i="21"/>
  <c r="J30" i="21" s="1"/>
  <c r="C8" i="17"/>
  <c r="C9" i="17"/>
  <c r="C10" i="17"/>
  <c r="C11" i="17"/>
  <c r="C12" i="17"/>
  <c r="C13" i="17"/>
  <c r="C14" i="17"/>
  <c r="B9" i="17"/>
  <c r="B10" i="17"/>
  <c r="B11" i="17"/>
  <c r="B12" i="17"/>
  <c r="B13" i="17"/>
  <c r="B14" i="17"/>
  <c r="F14" i="13"/>
  <c r="H30" i="17" l="1"/>
  <c r="O30" i="17"/>
  <c r="P30" i="17"/>
  <c r="D14" i="17"/>
  <c r="D13" i="17"/>
  <c r="D12" i="17"/>
  <c r="D11" i="17"/>
  <c r="D10" i="17"/>
  <c r="B8" i="17"/>
  <c r="C7" i="17"/>
  <c r="B7" i="17"/>
  <c r="C6" i="17"/>
  <c r="B6" i="17"/>
  <c r="C5" i="17"/>
  <c r="B5" i="17"/>
  <c r="E32" i="17" l="1"/>
  <c r="G13" i="13" l="1"/>
  <c r="G12" i="13"/>
  <c r="G9" i="13"/>
  <c r="G10" i="13"/>
  <c r="G11" i="13"/>
  <c r="G8" i="13"/>
  <c r="G4" i="13"/>
  <c r="D5" i="21" s="1"/>
  <c r="G5" i="13"/>
  <c r="D6" i="21" s="1"/>
  <c r="G30" i="21" s="1"/>
  <c r="G6" i="13"/>
  <c r="D7" i="21" s="1"/>
  <c r="I30" i="21" s="1"/>
  <c r="G7" i="13"/>
  <c r="D8" i="21" s="1"/>
  <c r="D25" i="21" l="1"/>
  <c r="E30" i="21"/>
  <c r="D27" i="21"/>
  <c r="D22" i="21"/>
  <c r="D23" i="21"/>
  <c r="D24" i="21"/>
  <c r="D9" i="17"/>
  <c r="D9" i="21"/>
  <c r="D15" i="21" s="1"/>
  <c r="D21" i="21"/>
  <c r="D6" i="17"/>
  <c r="G14" i="13"/>
  <c r="D8" i="17"/>
  <c r="D7" i="17"/>
  <c r="D5" i="17"/>
  <c r="I30" i="17" l="1"/>
  <c r="L32" i="21"/>
  <c r="I32" i="21"/>
  <c r="P32" i="21"/>
  <c r="M32" i="21"/>
  <c r="E32" i="21"/>
  <c r="O32" i="21"/>
  <c r="H32" i="21"/>
  <c r="K32" i="21"/>
  <c r="F32" i="21"/>
  <c r="J32" i="21"/>
  <c r="G32" i="21"/>
  <c r="N32" i="21"/>
  <c r="M30" i="17"/>
  <c r="F30" i="17"/>
  <c r="F32" i="17" s="1"/>
  <c r="K30" i="17"/>
  <c r="D15" i="17"/>
  <c r="F33" i="12"/>
  <c r="E33" i="12"/>
  <c r="D33" i="12"/>
  <c r="G30" i="12"/>
  <c r="G35" i="12" s="1"/>
  <c r="F30" i="12"/>
  <c r="F35" i="12" s="1"/>
  <c r="D30" i="12"/>
  <c r="D35" i="12" s="1"/>
  <c r="J22" i="12"/>
  <c r="H30" i="12"/>
  <c r="H21" i="12"/>
  <c r="G21" i="12"/>
  <c r="F21" i="12"/>
  <c r="J20" i="12"/>
  <c r="J21" i="12" s="1"/>
  <c r="E21" i="12"/>
  <c r="D21" i="12"/>
  <c r="J30" i="12" l="1"/>
  <c r="J32" i="12" s="1"/>
  <c r="D38" i="12"/>
  <c r="E30" i="12"/>
  <c r="G27" i="13" s="1"/>
  <c r="D32" i="12"/>
  <c r="D37" i="12" s="1"/>
  <c r="D36" i="12"/>
  <c r="G32" i="12"/>
  <c r="H32" i="12"/>
  <c r="G33" i="12"/>
  <c r="F36" i="12"/>
  <c r="F32" i="12"/>
  <c r="F37" i="12" s="1"/>
  <c r="F38" i="12"/>
  <c r="G29" i="13" l="1"/>
  <c r="D26" i="17"/>
  <c r="E35" i="12"/>
  <c r="E38" i="12" s="1"/>
  <c r="E32" i="12"/>
  <c r="D34" i="12"/>
  <c r="I6" i="12" s="1"/>
  <c r="J6" i="12" s="1"/>
  <c r="G6" i="12"/>
  <c r="G7" i="12" s="1"/>
  <c r="F34" i="12"/>
  <c r="G38" i="12"/>
  <c r="G36" i="12"/>
  <c r="G37" i="12"/>
  <c r="G34" i="12"/>
  <c r="E36" i="12" l="1"/>
  <c r="E34" i="12"/>
  <c r="G8" i="12"/>
  <c r="I36" i="12" s="1"/>
  <c r="D26" i="21"/>
  <c r="D29" i="21" s="1"/>
  <c r="E37" i="12"/>
  <c r="G9" i="12" l="1"/>
  <c r="I8" i="12"/>
  <c r="J8" i="12" s="1"/>
  <c r="D29" i="17" l="1"/>
  <c r="J30" i="17"/>
  <c r="G30" i="17"/>
  <c r="N30" i="17"/>
  <c r="L30" i="17"/>
  <c r="N32" i="17" l="1"/>
  <c r="G32" i="17"/>
  <c r="L32" i="17"/>
  <c r="O32" i="17"/>
  <c r="K32" i="17"/>
  <c r="J32" i="17"/>
  <c r="P32" i="17"/>
  <c r="M32" i="17"/>
  <c r="I32" i="17"/>
  <c r="H32" i="17"/>
</calcChain>
</file>

<file path=xl/sharedStrings.xml><?xml version="1.0" encoding="utf-8"?>
<sst xmlns="http://schemas.openxmlformats.org/spreadsheetml/2006/main" count="104" uniqueCount="69">
  <si>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</si>
  <si>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</si>
  <si>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</si>
  <si>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</si>
  <si>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</si>
  <si>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</si>
  <si>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</si>
  <si>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</si>
  <si>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</si>
  <si>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</si>
  <si>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</si>
  <si>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</si>
  <si>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</si>
  <si>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Presupuesto (BAC)</t>
  </si>
  <si>
    <t>CLIENTE</t>
  </si>
  <si>
    <t>FECHA</t>
  </si>
  <si>
    <t xml:space="preserve">ASUNTO Nº </t>
  </si>
  <si>
    <t>CONCEPTO</t>
  </si>
  <si>
    <t>Rev: 0</t>
  </si>
  <si>
    <t>PV</t>
  </si>
  <si>
    <t>COSTE</t>
  </si>
  <si>
    <t>M. BRUTO</t>
  </si>
  <si>
    <t>Regulariz.</t>
  </si>
  <si>
    <t>K</t>
  </si>
  <si>
    <t>PV1</t>
  </si>
  <si>
    <t>M.BRUTO</t>
  </si>
  <si>
    <t>6=3-1 o 3-2</t>
  </si>
  <si>
    <t>BLOQUE</t>
  </si>
  <si>
    <t>C. PREV</t>
  </si>
  <si>
    <t>REV. PREV</t>
  </si>
  <si>
    <t>PEDIDO</t>
  </si>
  <si>
    <t>FACTURADO</t>
  </si>
  <si>
    <t>PENDIENTE</t>
  </si>
  <si>
    <t>DESVIACION</t>
  </si>
  <si>
    <t>GASTOS SUPERVISOR</t>
  </si>
  <si>
    <t>GASTOS VIAJE</t>
  </si>
  <si>
    <t>AVALES</t>
  </si>
  <si>
    <t>COMISIONES</t>
  </si>
  <si>
    <t>TOTAL</t>
  </si>
  <si>
    <t>TRANSPORTES</t>
  </si>
  <si>
    <t>P. VENTA</t>
  </si>
  <si>
    <t>CMV</t>
  </si>
  <si>
    <t>M. NETO</t>
  </si>
  <si>
    <t>K1</t>
  </si>
  <si>
    <t>K2</t>
  </si>
  <si>
    <t>Hito</t>
  </si>
  <si>
    <t>Concepto</t>
  </si>
  <si>
    <t>Momento de facturacion</t>
  </si>
  <si>
    <t>Forma de pago</t>
  </si>
  <si>
    <t>Porcentaje</t>
  </si>
  <si>
    <t>EXPORTACION TEMPORAL HERRAMIENTAS</t>
  </si>
  <si>
    <t>Importe sin Iva</t>
  </si>
  <si>
    <t>Anticipo</t>
  </si>
  <si>
    <t>Revisiones</t>
  </si>
  <si>
    <t>Descripción</t>
  </si>
  <si>
    <t>Pagos del Cliente</t>
  </si>
  <si>
    <t>Pagos a Proveedores</t>
  </si>
  <si>
    <t>FLUJO DE CAJA</t>
  </si>
  <si>
    <t>CASH FLOW</t>
  </si>
  <si>
    <t>Finalización</t>
  </si>
  <si>
    <t>GASTOS FINANCIEROS</t>
  </si>
  <si>
    <t>GASTOS INGENIERIA</t>
  </si>
  <si>
    <t>PAGOS DEL CLIENTE</t>
  </si>
  <si>
    <t xml:space="preserve">PAGOS </t>
  </si>
  <si>
    <t>MONTAJE</t>
  </si>
  <si>
    <t>Entrega</t>
  </si>
  <si>
    <t>FABRICACIONES TANQUES</t>
  </si>
  <si>
    <t>FABRICACIONES TECHOS</t>
  </si>
  <si>
    <t>FABRICACIONES [OTROS]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</si>
</sst>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44" formatCode="_-* #,##0.00\ &quot;€&quot;_-;\-* #,##0.00\ &quot;€&quot;_-;_-* &quot;-&quot;??\ &quot;€&quot;_-;_-@_-"/>
    <numFmt numFmtId="164" formatCode="_ &quot;$&quot;\ * #,##0.00_ ;_ &quot;$&quot;\ * \-#,##0.00_ ;_ &quot;$&quot;\ * &quot;-&quot;??_ ;_ @_ "/>
    <numFmt numFmtId="165" formatCode="#,##0.000000"/>
    <numFmt numFmtId="166" formatCode="_-* #,##0.00\ [$€-C0A]_-;\-* #,##0.00\ [$€-C0A]_-;_-* &quot;-&quot;??\ [$€-C0A]_-;_-@_-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26"/>
      <color rgb="FF009688"/>
      <name val="Calibri Light"/>
      <family val="2"/>
    </font>
    <font>
      <sz val="12"/>
      <name val="Courier"/>
    </font>
    <font>
      <sz val="10"/>
      <name val="Arial"/>
      <family val="2"/>
    </font>
    <font>
      <sz val="11"/>
      <color rgb="FF009688"/>
      <name val="Calibri"/>
      <family val="2"/>
    </font>
    <font>
      <sz val="11"/>
      <name val="Calibri"/>
      <family val="2"/>
      <scheme val="minor"/>
    </font>
    <font>
      <b/>
      <sz val="11"/>
      <color rgb="FF009688"/>
      <name val="Calibri"/>
      <family val="2"/>
    </font>
    <font>
      <sz val="11"/>
      <color rgb="FF009688"/>
      <name val="Calibri"/>
      <family val="2"/>
      <scheme val="minor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indexed="62"/>
      <name val="Arial"/>
      <family val="2"/>
    </font>
    <font>
      <sz val="20"/>
      <color rgb="FF009688"/>
      <name val="Calibri Light"/>
      <family val="2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DFF2F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rgb="FFDFF2F1"/>
      </left>
      <right style="thin">
        <color rgb="FFDFF2F1"/>
      </right>
      <top style="thin">
        <color rgb="FFDFF2F1"/>
      </top>
      <bottom style="thin">
        <color rgb="FFDFF2F1"/>
      </bottom>
      <diagonal/>
    </border>
    <border>
      <left style="thin">
        <color rgb="FFDFF2F1"/>
      </left>
      <right style="thin">
        <color rgb="FFDFF2F1"/>
      </right>
      <top/>
      <bottom style="thin">
        <color rgb="FFDFF2F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10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4">
    <xf numFmtId="0" fontId="0" fillId="0" borderId="0" xfId="0"/>
    <xf numFmtId="0" fontId="5" fillId="0" borderId="0" xfId="0" applyFont="1"/>
    <xf numFmtId="3" fontId="7" fillId="0" borderId="0" xfId="0" applyNumberFormat="1" applyFont="1" applyFill="1" applyAlignment="1">
      <alignment vertical="top"/>
    </xf>
    <xf numFmtId="0" fontId="7" fillId="0" borderId="0" xfId="0" applyFont="1"/>
    <xf numFmtId="165" fontId="7" fillId="0" borderId="0" xfId="0" applyNumberFormat="1" applyFont="1" applyFill="1" applyAlignment="1">
      <alignment vertical="top"/>
    </xf>
    <xf numFmtId="49" fontId="8" fillId="0" borderId="0" xfId="0" applyNumberFormat="1" applyFont="1" applyBorder="1" applyAlignment="1">
      <alignment vertical="top"/>
    </xf>
    <xf numFmtId="0" fontId="7" fillId="0" borderId="0" xfId="0" applyFont="1" applyFill="1"/>
    <xf numFmtId="0" fontId="9" fillId="0" borderId="0" xfId="0" applyFont="1"/>
    <xf numFmtId="3" fontId="7" fillId="0" borderId="0" xfId="0" applyNumberFormat="1" applyFont="1" applyFill="1" applyBorder="1" applyAlignment="1">
      <alignment horizontal="right" vertical="top" wrapText="1"/>
    </xf>
    <xf numFmtId="14" fontId="7" fillId="0" borderId="0" xfId="0" applyNumberFormat="1" applyFont="1" applyFill="1" applyBorder="1" applyAlignment="1">
      <alignment horizontal="right" vertical="top" wrapText="1"/>
    </xf>
    <xf numFmtId="0" fontId="7" fillId="0" borderId="0" xfId="0" applyFont="1" applyFill="1" applyBorder="1"/>
    <xf numFmtId="0" fontId="5" fillId="0" borderId="0" xfId="0" applyFont="1" applyBorder="1"/>
    <xf numFmtId="0" fontId="6" fillId="0" borderId="0" xfId="0" applyFont="1" applyBorder="1"/>
    <xf numFmtId="4" fontId="5" fillId="0" borderId="0" xfId="0" applyNumberFormat="1" applyFont="1" applyBorder="1" applyAlignment="1">
      <alignment horizontal="right"/>
    </xf>
    <xf numFmtId="0" fontId="13" fillId="0" borderId="0" xfId="0" applyFont="1"/>
    <xf numFmtId="0" fontId="12" fillId="2" borderId="3" xfId="0" applyFont="1" applyFill="1" applyBorder="1" applyAlignment="1">
      <alignment horizontal="center" vertical="center" wrapText="1"/>
    </xf>
    <xf numFmtId="0" fontId="5" fillId="0" borderId="0" xfId="0" applyFont="1" applyFill="1" applyBorder="1"/>
    <xf numFmtId="0" fontId="0" fillId="0" borderId="0" xfId="0" applyFill="1" applyBorder="1"/>
    <xf numFmtId="2" fontId="6" fillId="0" borderId="0" xfId="3" applyNumberFormat="1" applyFont="1" applyFill="1" applyBorder="1" applyAlignment="1">
      <alignment horizontal="center" vertical="top" wrapText="1"/>
    </xf>
    <xf numFmtId="0" fontId="4" fillId="0" borderId="0" xfId="0" applyFont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16" fillId="0" borderId="10" xfId="0" applyFont="1" applyBorder="1"/>
    <xf numFmtId="0" fontId="16" fillId="0" borderId="0" xfId="0" applyFont="1"/>
    <xf numFmtId="14" fontId="4" fillId="0" borderId="11" xfId="0" applyNumberFormat="1" applyFont="1" applyBorder="1"/>
    <xf numFmtId="0" fontId="4" fillId="0" borderId="12" xfId="0" applyFont="1" applyBorder="1"/>
    <xf numFmtId="1" fontId="4" fillId="0" borderId="0" xfId="0" applyNumberFormat="1" applyFont="1"/>
    <xf numFmtId="0" fontId="17" fillId="0" borderId="0" xfId="0" applyFont="1"/>
    <xf numFmtId="14" fontId="17" fillId="0" borderId="11" xfId="0" applyNumberFormat="1" applyFont="1" applyBorder="1"/>
    <xf numFmtId="0" fontId="16" fillId="3" borderId="10" xfId="0" applyFont="1" applyFill="1" applyBorder="1"/>
    <xf numFmtId="3" fontId="4" fillId="3" borderId="0" xfId="0" applyNumberFormat="1" applyFont="1" applyFill="1"/>
    <xf numFmtId="0" fontId="16" fillId="3" borderId="0" xfId="0" applyFont="1" applyFill="1" applyAlignment="1">
      <alignment horizontal="right"/>
    </xf>
    <xf numFmtId="3" fontId="16" fillId="3" borderId="0" xfId="0" applyNumberFormat="1" applyFont="1" applyFill="1" applyAlignment="1">
      <alignment horizontal="left"/>
    </xf>
    <xf numFmtId="3" fontId="4" fillId="0" borderId="0" xfId="0" applyNumberFormat="1" applyFont="1"/>
    <xf numFmtId="0" fontId="16" fillId="0" borderId="0" xfId="0" applyFont="1" applyAlignment="1">
      <alignment horizontal="right"/>
    </xf>
    <xf numFmtId="4" fontId="4" fillId="0" borderId="0" xfId="0" applyNumberFormat="1" applyFont="1"/>
    <xf numFmtId="3" fontId="16" fillId="0" borderId="0" xfId="0" applyNumberFormat="1" applyFont="1" applyAlignment="1">
      <alignment horizontal="left"/>
    </xf>
    <xf numFmtId="0" fontId="4" fillId="0" borderId="11" xfId="0" applyFont="1" applyBorder="1"/>
    <xf numFmtId="0" fontId="16" fillId="4" borderId="10" xfId="0" applyFont="1" applyFill="1" applyBorder="1"/>
    <xf numFmtId="3" fontId="4" fillId="4" borderId="0" xfId="0" applyNumberFormat="1" applyFont="1" applyFill="1"/>
    <xf numFmtId="0" fontId="16" fillId="4" borderId="0" xfId="0" applyFont="1" applyFill="1" applyAlignment="1">
      <alignment horizontal="right"/>
    </xf>
    <xf numFmtId="3" fontId="16" fillId="4" borderId="0" xfId="0" applyNumberFormat="1" applyFont="1" applyFill="1" applyAlignment="1">
      <alignment horizontal="left"/>
    </xf>
    <xf numFmtId="0" fontId="4" fillId="0" borderId="13" xfId="0" applyFont="1" applyBorder="1"/>
    <xf numFmtId="0" fontId="4" fillId="0" borderId="14" xfId="0" applyFont="1" applyBorder="1"/>
    <xf numFmtId="0" fontId="16" fillId="0" borderId="14" xfId="0" applyFont="1" applyBorder="1" applyAlignment="1">
      <alignment horizontal="right"/>
    </xf>
    <xf numFmtId="4" fontId="4" fillId="0" borderId="14" xfId="0" applyNumberFormat="1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4" fillId="0" borderId="18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17" xfId="0" applyFont="1" applyBorder="1"/>
    <xf numFmtId="0" fontId="16" fillId="6" borderId="19" xfId="0" applyFont="1" applyFill="1" applyBorder="1" applyAlignment="1">
      <alignment horizontal="right"/>
    </xf>
    <xf numFmtId="3" fontId="4" fillId="6" borderId="19" xfId="0" applyNumberFormat="1" applyFont="1" applyFill="1" applyBorder="1"/>
    <xf numFmtId="0" fontId="19" fillId="6" borderId="0" xfId="0" applyFont="1" applyFill="1" applyAlignment="1">
      <alignment horizontal="right"/>
    </xf>
    <xf numFmtId="3" fontId="4" fillId="6" borderId="0" xfId="0" applyNumberFormat="1" applyFont="1" applyFill="1"/>
    <xf numFmtId="0" fontId="4" fillId="0" borderId="23" xfId="0" applyFont="1" applyBorder="1"/>
    <xf numFmtId="0" fontId="19" fillId="6" borderId="22" xfId="0" applyFont="1" applyFill="1" applyBorder="1" applyAlignment="1">
      <alignment horizontal="right"/>
    </xf>
    <xf numFmtId="3" fontId="4" fillId="6" borderId="22" xfId="0" applyNumberFormat="1" applyFont="1" applyFill="1" applyBorder="1"/>
    <xf numFmtId="3" fontId="16" fillId="6" borderId="22" xfId="0" applyNumberFormat="1" applyFont="1" applyFill="1" applyBorder="1"/>
    <xf numFmtId="0" fontId="19" fillId="6" borderId="19" xfId="0" applyFont="1" applyFill="1" applyBorder="1" applyAlignment="1">
      <alignment horizontal="right"/>
    </xf>
    <xf numFmtId="3" fontId="16" fillId="6" borderId="0" xfId="0" applyNumberFormat="1" applyFont="1" applyFill="1"/>
    <xf numFmtId="10" fontId="20" fillId="6" borderId="0" xfId="0" applyNumberFormat="1" applyFont="1" applyFill="1"/>
    <xf numFmtId="2" fontId="4" fillId="6" borderId="22" xfId="0" applyNumberFormat="1" applyFont="1" applyFill="1" applyBorder="1"/>
    <xf numFmtId="0" fontId="4" fillId="6" borderId="22" xfId="0" applyFont="1" applyFill="1" applyBorder="1"/>
    <xf numFmtId="0" fontId="4" fillId="0" borderId="24" xfId="0" applyFont="1" applyBorder="1"/>
    <xf numFmtId="0" fontId="19" fillId="6" borderId="25" xfId="0" applyFont="1" applyFill="1" applyBorder="1" applyAlignment="1">
      <alignment horizontal="right"/>
    </xf>
    <xf numFmtId="2" fontId="4" fillId="6" borderId="25" xfId="0" applyNumberFormat="1" applyFont="1" applyFill="1" applyBorder="1"/>
    <xf numFmtId="0" fontId="4" fillId="6" borderId="25" xfId="0" applyFont="1" applyFill="1" applyBorder="1"/>
    <xf numFmtId="0" fontId="16" fillId="7" borderId="0" xfId="0" applyFont="1" applyFill="1"/>
    <xf numFmtId="0" fontId="0" fillId="0" borderId="0" xfId="0" applyAlignment="1">
      <alignment horizontal="center"/>
    </xf>
    <xf numFmtId="9" fontId="0" fillId="0" borderId="0" xfId="4" applyFont="1"/>
    <xf numFmtId="166" fontId="14" fillId="2" borderId="4" xfId="0" applyNumberFormat="1" applyFont="1" applyFill="1" applyBorder="1" applyAlignment="1">
      <alignment horizontal="center" vertical="center" wrapText="1"/>
    </xf>
    <xf numFmtId="166" fontId="15" fillId="0" borderId="1" xfId="3" applyNumberFormat="1" applyFont="1" applyFill="1" applyBorder="1" applyAlignment="1">
      <alignment horizontal="center" vertical="top" wrapText="1"/>
    </xf>
    <xf numFmtId="0" fontId="4" fillId="0" borderId="26" xfId="0" applyFont="1" applyBorder="1"/>
    <xf numFmtId="3" fontId="4" fillId="6" borderId="21" xfId="0" applyNumberFormat="1" applyFont="1" applyFill="1" applyBorder="1"/>
    <xf numFmtId="3" fontId="4" fillId="6" borderId="12" xfId="0" applyNumberFormat="1" applyFont="1" applyFill="1" applyBorder="1"/>
    <xf numFmtId="3" fontId="4" fillId="6" borderId="27" xfId="0" applyNumberFormat="1" applyFont="1" applyFill="1" applyBorder="1"/>
    <xf numFmtId="0" fontId="4" fillId="6" borderId="27" xfId="0" applyFont="1" applyFill="1" applyBorder="1"/>
    <xf numFmtId="0" fontId="4" fillId="6" borderId="28" xfId="0" applyFont="1" applyFill="1" applyBorder="1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/>
    <xf numFmtId="0" fontId="16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3" fontId="3" fillId="0" borderId="2" xfId="0" applyNumberFormat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166" fontId="0" fillId="0" borderId="0" xfId="3" applyNumberFormat="1" applyFont="1" applyAlignment="1">
      <alignment vertical="center"/>
    </xf>
    <xf numFmtId="3" fontId="2" fillId="0" borderId="2" xfId="0" applyNumberFormat="1" applyFont="1" applyFill="1" applyBorder="1" applyAlignment="1">
      <alignment horizontal="left" vertical="top" wrapText="1"/>
    </xf>
    <xf numFmtId="6" fontId="14" fillId="2" borderId="4" xfId="0" applyNumberFormat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left" vertical="top" wrapText="1"/>
    </xf>
    <xf numFmtId="0" fontId="16" fillId="0" borderId="29" xfId="0" applyFont="1" applyBorder="1"/>
    <xf numFmtId="9" fontId="0" fillId="0" borderId="29" xfId="0" applyNumberFormat="1" applyBorder="1"/>
    <xf numFmtId="44" fontId="16" fillId="0" borderId="29" xfId="0" applyNumberFormat="1" applyFont="1" applyBorder="1"/>
    <xf numFmtId="3" fontId="1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Border="1"/>
    <xf numFmtId="0" fontId="4" fillId="0" borderId="19" xfId="0" applyFont="1" applyBorder="1"/>
    <xf numFmtId="0" fontId="18" fillId="0" borderId="30" xfId="0" applyFont="1" applyBorder="1"/>
    <xf numFmtId="3" fontId="4" fillId="0" borderId="30" xfId="0" applyNumberFormat="1" applyFont="1" applyBorder="1"/>
    <xf numFmtId="0" fontId="4" fillId="5" borderId="31" xfId="0" applyFont="1" applyFill="1" applyBorder="1"/>
    <xf numFmtId="0" fontId="18" fillId="5" borderId="32" xfId="0" applyFont="1" applyFill="1" applyBorder="1" applyAlignment="1">
      <alignment horizontal="right"/>
    </xf>
    <xf numFmtId="3" fontId="4" fillId="5" borderId="32" xfId="0" applyNumberFormat="1" applyFont="1" applyFill="1" applyBorder="1"/>
    <xf numFmtId="0" fontId="4" fillId="0" borderId="33" xfId="0" applyFont="1" applyBorder="1"/>
    <xf numFmtId="0" fontId="18" fillId="0" borderId="34" xfId="0" applyFont="1" applyBorder="1"/>
    <xf numFmtId="3" fontId="4" fillId="0" borderId="34" xfId="0" applyNumberFormat="1" applyFont="1" applyBorder="1"/>
    <xf numFmtId="3" fontId="4" fillId="0" borderId="35" xfId="0" applyNumberFormat="1" applyFont="1" applyBorder="1"/>
    <xf numFmtId="0" fontId="4" fillId="0" borderId="36" xfId="0" applyFont="1" applyBorder="1"/>
    <xf numFmtId="3" fontId="4" fillId="0" borderId="37" xfId="0" applyNumberFormat="1" applyFont="1" applyBorder="1"/>
    <xf numFmtId="0" fontId="4" fillId="0" borderId="38" xfId="0" applyFont="1" applyBorder="1"/>
    <xf numFmtId="0" fontId="18" fillId="0" borderId="39" xfId="0" applyFont="1" applyBorder="1"/>
    <xf numFmtId="3" fontId="4" fillId="0" borderId="39" xfId="0" applyNumberFormat="1" applyFont="1" applyBorder="1"/>
    <xf numFmtId="3" fontId="4" fillId="0" borderId="40" xfId="0" applyNumberFormat="1" applyFont="1" applyBorder="1"/>
    <xf numFmtId="0" fontId="4" fillId="5" borderId="10" xfId="0" applyFont="1" applyFill="1" applyBorder="1"/>
    <xf numFmtId="0" fontId="18" fillId="5" borderId="0" xfId="0" applyFont="1" applyFill="1" applyBorder="1" applyAlignment="1">
      <alignment horizontal="right"/>
    </xf>
    <xf numFmtId="3" fontId="4" fillId="5" borderId="0" xfId="0" applyNumberFormat="1" applyFont="1" applyFill="1" applyBorder="1"/>
    <xf numFmtId="0" fontId="4" fillId="0" borderId="34" xfId="0" applyFont="1" applyBorder="1"/>
    <xf numFmtId="0" fontId="4" fillId="0" borderId="35" xfId="0" applyFont="1" applyBorder="1"/>
    <xf numFmtId="10" fontId="4" fillId="3" borderId="11" xfId="4" applyNumberFormat="1" applyFont="1" applyFill="1" applyBorder="1"/>
    <xf numFmtId="10" fontId="4" fillId="4" borderId="11" xfId="0" applyNumberFormat="1" applyFont="1" applyFill="1" applyBorder="1"/>
    <xf numFmtId="0" fontId="0" fillId="0" borderId="30" xfId="0" applyBorder="1"/>
    <xf numFmtId="0" fontId="16" fillId="7" borderId="0" xfId="0" applyFont="1" applyFill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9" fillId="0" borderId="0" xfId="0" applyFont="1" applyAlignment="1">
      <alignment horizontal="left"/>
    </xf>
  </cellXfs>
  <cellStyles count="5">
    <cellStyle name="Moneda" xfId="3" builtinId="4"/>
    <cellStyle name="Normal" xfId="0" builtinId="0"/>
    <cellStyle name="Normal 2" xfId="1" xr:uid="{00000000-0005-0000-0000-000003000000}"/>
    <cellStyle name="Normal 3" xfId="2" xr:uid="{00000000-0005-0000-0000-000004000000}"/>
    <cellStyle name="Porcentaje" xfId="4" builtinId="5"/>
  </cellStyles>
  <dxfs count="0"/>
  <tableStyles count="0" defaultTableStyle="TableStyleMedium9" defaultPivotStyle="PivotStyleLight16"/>
  <colors>
    <mruColors>
      <color rgb="FF009688"/>
      <color rgb="FF0032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chartsheet" Target="chartsheets/sheet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Project</a:t>
            </a:r>
            <a:r>
              <a:rPr lang="es-AR" baseline="0"/>
              <a:t> Cash Flow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1"/>
          <c:cat>
            <c:strRef>
              <c:f>'Cash Flow (Previsto)'!$E$17:$P$17</c:f>
              <c:strCache>
                <c:ptCount val="12"/>
                <c:pt idx="0">
                  <c:v>Noviembre</c:v>
                </c:pt>
                <c:pt idx="1">
                  <c:v>Diciembre</c:v>
                </c:pt>
                <c:pt idx="2">
                  <c:v>Enero</c:v>
                </c:pt>
                <c:pt idx="3">
                  <c:v>Febrero</c:v>
                </c:pt>
                <c:pt idx="4">
                  <c:v>Marzo</c:v>
                </c:pt>
                <c:pt idx="5">
                  <c:v>Abril</c:v>
                </c:pt>
                <c:pt idx="6">
                  <c:v>Mayo</c:v>
                </c:pt>
                <c:pt idx="7">
                  <c:v>Junio</c:v>
                </c:pt>
                <c:pt idx="8">
                  <c:v>Julio</c:v>
                </c:pt>
                <c:pt idx="9">
                  <c:v>Agosto</c:v>
                </c:pt>
                <c:pt idx="10">
                  <c:v>Septiembre</c:v>
                </c:pt>
                <c:pt idx="11">
                  <c:v>Octubre</c:v>
                </c:pt>
              </c:strCache>
            </c:strRef>
          </c:cat>
          <c:val>
            <c:numRef>
              <c:f>'Cash Flow (Previsto)'!$E$32:$P$32</c:f>
              <c:numCache>
                <c:formatCode>_-* #,##0.00\ [$€-C0A]_-;\-* #,##0.00\ [$€-C0A]_-;_-* "-"??\ [$€-C0A]_-;_-@_-</c:formatCode>
                <c:ptCount val="12"/>
                <c:pt idx="0" formatCode="&quot;€&quot;#,##0_);[Red]\(&quot;€&quot;#,##0\)">
                  <c:v>0</c:v>
                </c:pt>
                <c:pt idx="1">
                  <c:v>0</c:v>
                </c:pt>
                <c:pt idx="2" formatCode="&quot;€&quot;#,##0_);[Red]\(&quot;€&quot;#,##0\)">
                  <c:v>0</c:v>
                </c:pt>
                <c:pt idx="3" formatCode="&quot;€&quot;#,##0_);[Red]\(&quot;€&quot;#,##0\)">
                  <c:v>0</c:v>
                </c:pt>
                <c:pt idx="4" formatCode="&quot;€&quot;#,##0_);[Red]\(&quot;€&quot;#,##0\)">
                  <c:v>0</c:v>
                </c:pt>
                <c:pt idx="5" formatCode="&quot;€&quot;#,##0_);[Red]\(&quot;€&quot;#,##0\)">
                  <c:v>0</c:v>
                </c:pt>
                <c:pt idx="6" formatCode="&quot;€&quot;#,##0_);[Red]\(&quot;€&quot;#,##0\)">
                  <c:v>0</c:v>
                </c:pt>
                <c:pt idx="7" formatCode="&quot;€&quot;#,##0_);[Red]\(&quot;€&quot;#,##0\)">
                  <c:v>0</c:v>
                </c:pt>
                <c:pt idx="8" formatCode="&quot;€&quot;#,##0_);[Red]\(&quot;€&quot;#,##0\)">
                  <c:v>0</c:v>
                </c:pt>
                <c:pt idx="9" formatCode="&quot;€&quot;#,##0_);[Red]\(&quot;€&quot;#,##0\)">
                  <c:v>0</c:v>
                </c:pt>
                <c:pt idx="10" formatCode="&quot;€&quot;#,##0_);[Red]\(&quot;€&quot;#,##0\)">
                  <c:v>0</c:v>
                </c:pt>
                <c:pt idx="11" formatCode="&quot;€&quot;#,##0_);[Red]\(&quot;€&quot;#,##0\)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700C-426D-9761-6E5C0399C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2117488"/>
        <c:axId val="382118048"/>
      </c:barChart>
      <c:catAx>
        <c:axId val="38211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2118048"/>
        <c:crosses val="autoZero"/>
        <c:auto val="1"/>
        <c:lblAlgn val="ctr"/>
        <c:lblOffset val="100"/>
        <c:noMultiLvlLbl val="0"/>
      </c:catAx>
      <c:valAx>
        <c:axId val="38211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_);[Red]\(&quot;€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211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Project</a:t>
            </a:r>
            <a:r>
              <a:rPr lang="es-AR" baseline="0"/>
              <a:t> Cash Flow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1"/>
          <c:cat>
            <c:strRef>
              <c:f>'Cash Flow (Actual)'!$E$17:$P$17</c:f>
              <c:strCache>
                <c:ptCount val="12"/>
                <c:pt idx="0">
                  <c:v>Noviembre</c:v>
                </c:pt>
                <c:pt idx="1">
                  <c:v>Diciembre</c:v>
                </c:pt>
                <c:pt idx="2">
                  <c:v>Enero</c:v>
                </c:pt>
                <c:pt idx="3">
                  <c:v>Febrero</c:v>
                </c:pt>
                <c:pt idx="4">
                  <c:v>Marzo</c:v>
                </c:pt>
                <c:pt idx="5">
                  <c:v>Abril</c:v>
                </c:pt>
                <c:pt idx="6">
                  <c:v>Mayo</c:v>
                </c:pt>
                <c:pt idx="7">
                  <c:v>Junio</c:v>
                </c:pt>
                <c:pt idx="8">
                  <c:v>Julio</c:v>
                </c:pt>
                <c:pt idx="9">
                  <c:v>Agosto</c:v>
                </c:pt>
                <c:pt idx="10">
                  <c:v>Septiembre</c:v>
                </c:pt>
                <c:pt idx="11">
                  <c:v>Octubre</c:v>
                </c:pt>
              </c:strCache>
            </c:strRef>
          </c:cat>
          <c:val>
            <c:numRef>
              <c:f>'Cash Flow (Actual)'!$E$32:$P$32</c:f>
              <c:numCache>
                <c:formatCode>_-* #,##0.00\ [$€-C0A]_-;\-* #,##0.00\ [$€-C0A]_-;_-* "-"??\ [$€-C0A]_-;_-@_-</c:formatCode>
                <c:ptCount val="12"/>
                <c:pt idx="0" formatCode="&quot;€&quot;#,##0_);[Red]\(&quot;€&quot;#,##0\)">
                  <c:v>0</c:v>
                </c:pt>
                <c:pt idx="1">
                  <c:v>0</c:v>
                </c:pt>
                <c:pt idx="2" formatCode="&quot;€&quot;#,##0_);[Red]\(&quot;€&quot;#,##0\)">
                  <c:v>0</c:v>
                </c:pt>
                <c:pt idx="3" formatCode="&quot;€&quot;#,##0_);[Red]\(&quot;€&quot;#,##0\)">
                  <c:v>0</c:v>
                </c:pt>
                <c:pt idx="4" formatCode="&quot;€&quot;#,##0_);[Red]\(&quot;€&quot;#,##0\)">
                  <c:v>0</c:v>
                </c:pt>
                <c:pt idx="5" formatCode="&quot;€&quot;#,##0_);[Red]\(&quot;€&quot;#,##0\)">
                  <c:v>0</c:v>
                </c:pt>
                <c:pt idx="6" formatCode="&quot;€&quot;#,##0_);[Red]\(&quot;€&quot;#,##0\)">
                  <c:v>0</c:v>
                </c:pt>
                <c:pt idx="7" formatCode="&quot;€&quot;#,##0_);[Red]\(&quot;€&quot;#,##0\)">
                  <c:v>0</c:v>
                </c:pt>
                <c:pt idx="8" formatCode="&quot;€&quot;#,##0_);[Red]\(&quot;€&quot;#,##0\)">
                  <c:v>0</c:v>
                </c:pt>
                <c:pt idx="9" formatCode="&quot;€&quot;#,##0_);[Red]\(&quot;€&quot;#,##0\)">
                  <c:v>0</c:v>
                </c:pt>
                <c:pt idx="10" formatCode="&quot;€&quot;#,##0_);[Red]\(&quot;€&quot;#,##0\)">
                  <c:v>0</c:v>
                </c:pt>
                <c:pt idx="11" formatCode="&quot;€&quot;#,##0_);[Red]\(&quot;€&quot;#,##0\)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2E7E-4230-98B1-A65466A86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2117488"/>
        <c:axId val="382118048"/>
      </c:barChart>
      <c:catAx>
        <c:axId val="38211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2118048"/>
        <c:crosses val="autoZero"/>
        <c:auto val="1"/>
        <c:lblAlgn val="ctr"/>
        <c:lblOffset val="100"/>
        <c:noMultiLvlLbl val="0"/>
      </c:catAx>
      <c:valAx>
        <c:axId val="38211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_);[Red]\(&quot;€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211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FB95123-56ED-48C9-B623-3FAB57654265}">
  <sheetPr/>
  <sheetViews>
    <sheetView zoomScale="8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51E388C-56BC-4FCE-9D35-3866F345F6A1}">
  <sheetPr/>
  <sheetViews>
    <sheetView zoomScale="8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2088" cy="608479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E52AE0-7A88-47B6-BA3E-C66F9CEF298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12088" cy="608479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2F1643-E7E0-4F5D-A822-0CCDCFF4D46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7135F-818F-4F94-8114-00E9AC88ED2B}">
  <dimension ref="A1:M44"/>
  <sheetViews>
    <sheetView tabSelected="1" workbookViewId="0">
      <selection activeCell="B40" sqref="B40"/>
    </sheetView>
  </sheetViews>
  <sheetFormatPr baseColWidth="10" defaultRowHeight="12.75" x14ac:dyDescent="0.2"/>
  <cols>
    <col min="3" max="3" width="31.85546875" bestFit="1" customWidth="1"/>
  </cols>
  <sheetData>
    <row r="1" spans="1:13" x14ac:dyDescent="0.2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ht="13.5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ht="13.5" thickTop="1" x14ac:dyDescent="0.2">
      <c r="A3" s="19"/>
      <c r="B3" s="20"/>
      <c r="C3" s="21"/>
      <c r="D3" s="20"/>
      <c r="E3" s="21"/>
      <c r="F3" s="21"/>
      <c r="G3" s="21"/>
      <c r="H3" s="21"/>
      <c r="I3" s="21"/>
      <c r="J3" s="22"/>
      <c r="K3" s="21"/>
      <c r="L3" s="23"/>
      <c r="M3" s="19"/>
    </row>
    <row r="4" spans="1:13" x14ac:dyDescent="0.2">
      <c r="A4" s="19"/>
      <c r="B4" s="24"/>
      <c r="C4" s="19"/>
      <c r="D4" s="25" t="s">
        <v>14</v>
      </c>
      <c r="E4" s="19"/>
      <c r="F4" s="19"/>
      <c r="G4" s="19"/>
      <c r="H4" s="19"/>
      <c r="I4" s="26" t="s">
        <v>15</v>
      </c>
      <c r="J4" s="27">
        <v>44134</v>
      </c>
      <c r="K4" s="19"/>
      <c r="L4" s="28"/>
      <c r="M4" s="19"/>
    </row>
    <row r="5" spans="1:13" x14ac:dyDescent="0.2">
      <c r="A5" s="19"/>
      <c r="B5" s="24"/>
      <c r="C5" s="19"/>
      <c r="D5" s="25" t="s">
        <v>16</v>
      </c>
      <c r="E5" s="29"/>
      <c r="F5" s="26" t="s">
        <v>17</v>
      </c>
      <c r="G5" s="19"/>
      <c r="H5" s="19"/>
      <c r="I5" s="30" t="s">
        <v>18</v>
      </c>
      <c r="J5" s="31"/>
      <c r="K5" s="19"/>
      <c r="L5" s="28"/>
      <c r="M5" s="19"/>
    </row>
    <row r="6" spans="1:13" x14ac:dyDescent="0.2">
      <c r="A6" s="19"/>
      <c r="B6" s="24"/>
      <c r="C6" s="19"/>
      <c r="D6" s="32" t="s">
        <v>19</v>
      </c>
      <c r="E6" s="33"/>
      <c r="F6" s="34" t="s">
        <v>20</v>
      </c>
      <c r="G6" s="33">
        <f>+D32</f>
        <v>0</v>
      </c>
      <c r="H6" s="35" t="s">
        <v>21</v>
      </c>
      <c r="I6" s="33">
        <f>+D34</f>
        <v>0</v>
      </c>
      <c r="J6" s="126" t="e">
        <f>I6/E6</f>
        <v>#DIV/0!</v>
      </c>
      <c r="K6" s="19"/>
      <c r="L6" s="28"/>
      <c r="M6" s="19"/>
    </row>
    <row r="7" spans="1:13" x14ac:dyDescent="0.2">
      <c r="A7" s="19"/>
      <c r="B7" s="24"/>
      <c r="C7" s="19"/>
      <c r="D7" s="25" t="s">
        <v>22</v>
      </c>
      <c r="E7" s="36"/>
      <c r="F7" s="37" t="s">
        <v>23</v>
      </c>
      <c r="G7" s="38" t="e">
        <f>E6/G6</f>
        <v>#DIV/0!</v>
      </c>
      <c r="H7" s="39"/>
      <c r="I7" s="36"/>
      <c r="J7" s="40"/>
      <c r="K7" s="19"/>
      <c r="L7" s="28"/>
      <c r="M7" s="19"/>
    </row>
    <row r="8" spans="1:13" x14ac:dyDescent="0.2">
      <c r="A8" s="19"/>
      <c r="B8" s="24"/>
      <c r="C8" s="19"/>
      <c r="D8" s="41" t="s">
        <v>24</v>
      </c>
      <c r="E8" s="42">
        <f>E6+E7</f>
        <v>0</v>
      </c>
      <c r="F8" s="43" t="s">
        <v>20</v>
      </c>
      <c r="G8" s="42">
        <f>+E32</f>
        <v>0</v>
      </c>
      <c r="H8" s="44" t="s">
        <v>25</v>
      </c>
      <c r="I8" s="42">
        <f>E8-G8</f>
        <v>0</v>
      </c>
      <c r="J8" s="127" t="e">
        <f>I8/E8</f>
        <v>#DIV/0!</v>
      </c>
      <c r="K8" s="19"/>
      <c r="L8" s="28"/>
      <c r="M8" s="19"/>
    </row>
    <row r="9" spans="1:13" ht="13.5" thickBot="1" x14ac:dyDescent="0.25">
      <c r="A9" s="19"/>
      <c r="B9" s="24"/>
      <c r="C9" s="19"/>
      <c r="D9" s="45"/>
      <c r="E9" s="46"/>
      <c r="F9" s="47" t="s">
        <v>23</v>
      </c>
      <c r="G9" s="48" t="e">
        <f>E8/G8</f>
        <v>#DIV/0!</v>
      </c>
      <c r="H9" s="46"/>
      <c r="I9" s="46"/>
      <c r="J9" s="49"/>
      <c r="K9" s="19"/>
      <c r="L9" s="50"/>
      <c r="M9" s="19"/>
    </row>
    <row r="10" spans="1:13" ht="13.5" thickTop="1" x14ac:dyDescent="0.2">
      <c r="A10" s="19"/>
      <c r="B10" s="24"/>
      <c r="C10" s="19"/>
      <c r="D10" s="51">
        <v>1</v>
      </c>
      <c r="E10" s="51">
        <v>2</v>
      </c>
      <c r="F10" s="51">
        <v>3</v>
      </c>
      <c r="G10" s="51">
        <v>4</v>
      </c>
      <c r="H10" s="51">
        <v>5</v>
      </c>
      <c r="I10" s="51"/>
      <c r="J10" s="51" t="s">
        <v>26</v>
      </c>
      <c r="K10" s="20"/>
      <c r="L10" s="23"/>
      <c r="M10" s="19"/>
    </row>
    <row r="11" spans="1:13" ht="13.5" thickBot="1" x14ac:dyDescent="0.25">
      <c r="A11" s="19"/>
      <c r="B11" s="53" t="s">
        <v>27</v>
      </c>
      <c r="C11" s="52" t="s">
        <v>17</v>
      </c>
      <c r="D11" s="52" t="s">
        <v>28</v>
      </c>
      <c r="E11" s="52" t="s">
        <v>29</v>
      </c>
      <c r="F11" s="52" t="s">
        <v>30</v>
      </c>
      <c r="G11" s="52" t="s">
        <v>31</v>
      </c>
      <c r="H11" s="52" t="s">
        <v>32</v>
      </c>
      <c r="I11" s="52"/>
      <c r="J11" s="52" t="s">
        <v>33</v>
      </c>
      <c r="K11" s="53"/>
      <c r="L11" s="54"/>
      <c r="M11" s="19"/>
    </row>
    <row r="12" spans="1:13" ht="13.5" thickTop="1" x14ac:dyDescent="0.2">
      <c r="A12" s="19"/>
      <c r="B12" s="111"/>
      <c r="C12" s="124"/>
      <c r="D12" s="124"/>
      <c r="E12" s="124"/>
      <c r="F12" s="124"/>
      <c r="G12" s="124"/>
      <c r="H12" s="124"/>
      <c r="I12" s="124"/>
      <c r="J12" s="125"/>
      <c r="K12" s="81"/>
      <c r="L12" s="55"/>
      <c r="M12" s="19"/>
    </row>
    <row r="13" spans="1:13" x14ac:dyDescent="0.2">
      <c r="A13" s="104"/>
      <c r="B13" s="115">
        <v>901</v>
      </c>
      <c r="C13" s="106" t="s">
        <v>34</v>
      </c>
      <c r="D13" s="107"/>
      <c r="E13" s="107"/>
      <c r="F13" s="107"/>
      <c r="G13" s="107"/>
      <c r="H13" s="107"/>
      <c r="I13" s="107"/>
      <c r="J13" s="116"/>
      <c r="K13" s="104"/>
      <c r="L13" s="28"/>
      <c r="M13" s="19"/>
    </row>
    <row r="14" spans="1:13" x14ac:dyDescent="0.2">
      <c r="A14" s="104"/>
      <c r="B14" s="115">
        <v>921</v>
      </c>
      <c r="C14" s="106" t="s">
        <v>50</v>
      </c>
      <c r="D14" s="107"/>
      <c r="E14" s="107"/>
      <c r="F14" s="107"/>
      <c r="G14" s="107"/>
      <c r="H14" s="107"/>
      <c r="I14" s="107"/>
      <c r="J14" s="116"/>
      <c r="K14" s="104"/>
      <c r="L14" s="28"/>
      <c r="M14" s="19"/>
    </row>
    <row r="15" spans="1:13" x14ac:dyDescent="0.2">
      <c r="A15" s="104"/>
      <c r="B15" s="115">
        <v>951</v>
      </c>
      <c r="C15" s="106" t="s">
        <v>35</v>
      </c>
      <c r="D15" s="107"/>
      <c r="E15" s="107"/>
      <c r="F15" s="107"/>
      <c r="G15" s="107"/>
      <c r="H15" s="107"/>
      <c r="I15" s="107"/>
      <c r="J15" s="116"/>
      <c r="K15" s="104"/>
      <c r="L15" s="28"/>
      <c r="M15" s="19"/>
    </row>
    <row r="16" spans="1:13" x14ac:dyDescent="0.2">
      <c r="A16" s="104"/>
      <c r="B16" s="115">
        <v>961</v>
      </c>
      <c r="C16" s="106" t="s">
        <v>60</v>
      </c>
      <c r="D16" s="107"/>
      <c r="E16" s="107"/>
      <c r="F16" s="107"/>
      <c r="G16" s="107"/>
      <c r="H16" s="107"/>
      <c r="I16" s="107"/>
      <c r="J16" s="116"/>
      <c r="K16" s="105"/>
      <c r="L16" s="57"/>
      <c r="M16" s="19"/>
    </row>
    <row r="17" spans="1:13" x14ac:dyDescent="0.2">
      <c r="A17" s="104"/>
      <c r="B17" s="115">
        <v>962</v>
      </c>
      <c r="C17" s="106" t="s">
        <v>61</v>
      </c>
      <c r="D17" s="107"/>
      <c r="E17" s="107"/>
      <c r="F17" s="107"/>
      <c r="G17" s="107"/>
      <c r="H17" s="107"/>
      <c r="I17" s="107"/>
      <c r="J17" s="116"/>
      <c r="K17" s="104"/>
      <c r="L17" s="28"/>
      <c r="M17" s="19"/>
    </row>
    <row r="18" spans="1:13" x14ac:dyDescent="0.2">
      <c r="A18" s="104"/>
      <c r="B18" s="115">
        <v>971</v>
      </c>
      <c r="C18" s="106" t="s">
        <v>36</v>
      </c>
      <c r="D18" s="107"/>
      <c r="E18" s="107"/>
      <c r="F18" s="107"/>
      <c r="G18" s="107"/>
      <c r="H18" s="107"/>
      <c r="I18" s="107"/>
      <c r="J18" s="116"/>
      <c r="K18" s="105"/>
      <c r="L18" s="57"/>
      <c r="M18" s="19"/>
    </row>
    <row r="19" spans="1:13" x14ac:dyDescent="0.2">
      <c r="A19" s="104"/>
      <c r="B19" s="115"/>
      <c r="C19" s="106" t="s">
        <v>37</v>
      </c>
      <c r="D19" s="107"/>
      <c r="E19" s="107"/>
      <c r="F19" s="107"/>
      <c r="G19" s="107"/>
      <c r="H19" s="107"/>
      <c r="I19" s="107"/>
      <c r="J19" s="116"/>
      <c r="K19" s="104"/>
      <c r="L19" s="28"/>
      <c r="M19" s="19"/>
    </row>
    <row r="20" spans="1:13" ht="13.5" thickBot="1" x14ac:dyDescent="0.25">
      <c r="A20" s="104"/>
      <c r="B20" s="117">
        <v>981</v>
      </c>
      <c r="C20" s="118" t="s">
        <v>39</v>
      </c>
      <c r="D20" s="119"/>
      <c r="E20" s="119"/>
      <c r="F20" s="119"/>
      <c r="G20" s="119"/>
      <c r="H20" s="119"/>
      <c r="I20" s="119"/>
      <c r="J20" s="120">
        <f>F20-D20</f>
        <v>0</v>
      </c>
      <c r="K20" s="104"/>
      <c r="L20" s="28"/>
      <c r="M20" s="19"/>
    </row>
    <row r="21" spans="1:13" ht="13.5" thickBot="1" x14ac:dyDescent="0.25">
      <c r="A21" s="28"/>
      <c r="B21" s="121"/>
      <c r="C21" s="122" t="s">
        <v>38</v>
      </c>
      <c r="D21" s="123">
        <f>SUM(D13:D20)</f>
        <v>0</v>
      </c>
      <c r="E21" s="123">
        <f>SUM(E13:E20)</f>
        <v>0</v>
      </c>
      <c r="F21" s="123">
        <f>SUM(F13:F20)</f>
        <v>0</v>
      </c>
      <c r="G21" s="123">
        <f>SUM(G13:G20)</f>
        <v>0</v>
      </c>
      <c r="H21" s="123">
        <f>SUM(H13:H20)</f>
        <v>0</v>
      </c>
      <c r="I21" s="123"/>
      <c r="J21" s="123">
        <f>SUM(J13:J20)</f>
        <v>0</v>
      </c>
      <c r="K21" s="56"/>
      <c r="L21" s="57"/>
      <c r="M21" s="19"/>
    </row>
    <row r="22" spans="1:13" x14ac:dyDescent="0.2">
      <c r="A22" s="104"/>
      <c r="B22" s="111">
        <v>0</v>
      </c>
      <c r="C22" s="112" t="s">
        <v>66</v>
      </c>
      <c r="D22" s="113"/>
      <c r="E22" s="113"/>
      <c r="F22" s="113"/>
      <c r="G22" s="113"/>
      <c r="H22" s="113"/>
      <c r="I22" s="113"/>
      <c r="J22" s="114">
        <f>F22-D22</f>
        <v>0</v>
      </c>
      <c r="K22" s="104"/>
      <c r="L22" s="28"/>
      <c r="M22" s="19"/>
    </row>
    <row r="23" spans="1:13" x14ac:dyDescent="0.2">
      <c r="A23" s="104"/>
      <c r="B23" s="115">
        <v>1</v>
      </c>
      <c r="C23" s="106" t="s">
        <v>67</v>
      </c>
      <c r="D23" s="107"/>
      <c r="E23" s="107"/>
      <c r="F23" s="107"/>
      <c r="G23" s="107"/>
      <c r="H23" s="107"/>
      <c r="I23" s="107"/>
      <c r="J23" s="116">
        <f t="shared" ref="J23:J26" si="0">F23-D23</f>
        <v>0</v>
      </c>
      <c r="K23" s="104"/>
      <c r="L23" s="28"/>
      <c r="M23" s="19"/>
    </row>
    <row r="24" spans="1:13" x14ac:dyDescent="0.2">
      <c r="A24" s="104"/>
      <c r="B24" s="115">
        <v>2</v>
      </c>
      <c r="C24" s="106" t="s">
        <v>68</v>
      </c>
      <c r="D24" s="107"/>
      <c r="E24" s="107"/>
      <c r="F24" s="107"/>
      <c r="G24" s="107"/>
      <c r="H24" s="107"/>
      <c r="I24" s="107"/>
      <c r="J24" s="116">
        <f t="shared" si="0"/>
        <v>0</v>
      </c>
      <c r="K24" s="105"/>
      <c r="L24" s="57"/>
      <c r="M24" s="19"/>
    </row>
    <row r="25" spans="1:13" x14ac:dyDescent="0.2">
      <c r="A25" s="104"/>
      <c r="B25" s="115">
        <v>3</v>
      </c>
      <c r="C25" s="106" t="s">
        <v>64</v>
      </c>
      <c r="D25" s="107"/>
      <c r="E25" s="107"/>
      <c r="F25" s="107"/>
      <c r="G25" s="107"/>
      <c r="H25" s="107"/>
      <c r="I25" s="107"/>
      <c r="J25" s="116">
        <f t="shared" si="0"/>
        <v>0</v>
      </c>
      <c r="K25" s="104"/>
      <c r="L25" s="28"/>
      <c r="M25" s="19"/>
    </row>
    <row r="26" spans="1:13" x14ac:dyDescent="0.2">
      <c r="A26" s="104"/>
      <c r="B26" s="115">
        <v>4</v>
      </c>
      <c r="C26" s="106"/>
      <c r="D26" s="107"/>
      <c r="E26" s="107"/>
      <c r="F26" s="107"/>
      <c r="G26" s="107"/>
      <c r="H26" s="107"/>
      <c r="I26" s="107"/>
      <c r="J26" s="116">
        <f t="shared" si="0"/>
        <v>0</v>
      </c>
      <c r="K26" s="104"/>
      <c r="L26" s="28"/>
      <c r="M26" s="19"/>
    </row>
    <row r="27" spans="1:13" x14ac:dyDescent="0.2">
      <c r="A27" s="104"/>
      <c r="B27" s="115">
        <v>5</v>
      </c>
      <c r="C27" s="106"/>
      <c r="D27" s="107"/>
      <c r="E27" s="107"/>
      <c r="F27" s="107"/>
      <c r="G27" s="107"/>
      <c r="H27" s="107"/>
      <c r="I27" s="107"/>
      <c r="J27" s="116"/>
      <c r="K27" s="104"/>
      <c r="L27" s="28"/>
      <c r="M27" s="19"/>
    </row>
    <row r="28" spans="1:13" x14ac:dyDescent="0.2">
      <c r="A28" s="19"/>
      <c r="B28" s="115">
        <v>6</v>
      </c>
      <c r="C28" s="106"/>
      <c r="D28" s="128"/>
      <c r="E28" s="128"/>
      <c r="F28" s="107"/>
      <c r="G28" s="107"/>
      <c r="H28" s="107"/>
      <c r="I28" s="107"/>
      <c r="J28" s="116"/>
      <c r="K28" s="104"/>
      <c r="L28" s="28"/>
      <c r="M28" s="19"/>
    </row>
    <row r="29" spans="1:13" ht="13.5" thickBot="1" x14ac:dyDescent="0.25">
      <c r="A29" s="19"/>
      <c r="B29" s="117">
        <v>7</v>
      </c>
      <c r="C29" s="118" t="s">
        <v>39</v>
      </c>
      <c r="D29" s="119"/>
      <c r="E29" s="119"/>
      <c r="F29" s="119"/>
      <c r="G29" s="119"/>
      <c r="H29" s="119"/>
      <c r="I29" s="119"/>
      <c r="J29" s="120">
        <f t="shared" ref="J29" si="1">F29-D29</f>
        <v>0</v>
      </c>
      <c r="K29" s="105"/>
      <c r="L29" s="57"/>
      <c r="M29" s="19"/>
    </row>
    <row r="30" spans="1:13" ht="13.5" thickBot="1" x14ac:dyDescent="0.25">
      <c r="A30" s="19"/>
      <c r="B30" s="108"/>
      <c r="C30" s="109" t="s">
        <v>38</v>
      </c>
      <c r="D30" s="110">
        <f>SUM(D22:D29)</f>
        <v>0</v>
      </c>
      <c r="E30" s="110">
        <f>SUM(E22:E29)</f>
        <v>0</v>
      </c>
      <c r="F30" s="110">
        <f>SUM(F22:F29)</f>
        <v>0</v>
      </c>
      <c r="G30" s="110">
        <f>SUM(G22:G29)</f>
        <v>0</v>
      </c>
      <c r="H30" s="110">
        <f>SUM(H22:H29)</f>
        <v>0</v>
      </c>
      <c r="I30" s="110"/>
      <c r="J30" s="110">
        <f>SUM(J22:J29)</f>
        <v>0</v>
      </c>
      <c r="K30" s="58"/>
      <c r="L30" s="50"/>
      <c r="M30" s="19"/>
    </row>
    <row r="31" spans="1:13" ht="13.5" thickTop="1" x14ac:dyDescent="0.2">
      <c r="A31" s="19"/>
      <c r="B31" s="24"/>
      <c r="C31" s="19"/>
      <c r="D31" s="36"/>
      <c r="E31" s="36"/>
      <c r="F31" s="36"/>
      <c r="G31" s="36"/>
      <c r="H31" s="36"/>
      <c r="I31" s="36"/>
      <c r="J31" s="36"/>
      <c r="K31" s="24"/>
      <c r="L31" s="28"/>
      <c r="M31" s="19"/>
    </row>
    <row r="32" spans="1:13" x14ac:dyDescent="0.2">
      <c r="A32" s="19"/>
      <c r="B32" s="56"/>
      <c r="C32" s="59" t="s">
        <v>38</v>
      </c>
      <c r="D32" s="60">
        <f>SUM(D21+D30)</f>
        <v>0</v>
      </c>
      <c r="E32" s="60">
        <f>SUM(E21+E30)</f>
        <v>0</v>
      </c>
      <c r="F32" s="60">
        <f>SUM(F21+F30)</f>
        <v>0</v>
      </c>
      <c r="G32" s="60">
        <f>SUM(G21+G30)</f>
        <v>0</v>
      </c>
      <c r="H32" s="60">
        <f>SUM(H21+H30)</f>
        <v>0</v>
      </c>
      <c r="I32" s="60"/>
      <c r="J32" s="82">
        <f>SUM(J21+J30)</f>
        <v>0</v>
      </c>
      <c r="K32" s="24"/>
      <c r="L32" s="28"/>
      <c r="M32" s="19"/>
    </row>
    <row r="33" spans="1:13" x14ac:dyDescent="0.2">
      <c r="A33" s="19"/>
      <c r="B33" s="24"/>
      <c r="C33" s="61" t="s">
        <v>40</v>
      </c>
      <c r="D33" s="62">
        <f>E6</f>
        <v>0</v>
      </c>
      <c r="E33" s="62">
        <f>E6</f>
        <v>0</v>
      </c>
      <c r="F33" s="62">
        <f>E6</f>
        <v>0</v>
      </c>
      <c r="G33" s="62">
        <f>E8</f>
        <v>0</v>
      </c>
      <c r="H33" s="62"/>
      <c r="I33" s="62"/>
      <c r="J33" s="83"/>
      <c r="K33" s="24"/>
      <c r="L33" s="28"/>
      <c r="M33" s="19"/>
    </row>
    <row r="34" spans="1:13" x14ac:dyDescent="0.2">
      <c r="A34" s="19"/>
      <c r="B34" s="63"/>
      <c r="C34" s="64" t="s">
        <v>21</v>
      </c>
      <c r="D34" s="65">
        <f>D33-D32</f>
        <v>0</v>
      </c>
      <c r="E34" s="66">
        <f>E33-E32</f>
        <v>0</v>
      </c>
      <c r="F34" s="65">
        <f>F33-F32</f>
        <v>0</v>
      </c>
      <c r="G34" s="65">
        <f>G33-G32</f>
        <v>0</v>
      </c>
      <c r="H34" s="65"/>
      <c r="I34" s="65"/>
      <c r="J34" s="84"/>
      <c r="K34" s="24"/>
      <c r="L34" s="28"/>
      <c r="M34" s="19"/>
    </row>
    <row r="35" spans="1:13" x14ac:dyDescent="0.2">
      <c r="A35" s="19"/>
      <c r="B35" s="56"/>
      <c r="C35" s="67" t="s">
        <v>41</v>
      </c>
      <c r="D35" s="60">
        <f>D30+D20</f>
        <v>0</v>
      </c>
      <c r="E35" s="60">
        <f>E30+E20</f>
        <v>0</v>
      </c>
      <c r="F35" s="60">
        <f>F30+F20</f>
        <v>0</v>
      </c>
      <c r="G35" s="60">
        <f>G30+G20</f>
        <v>0</v>
      </c>
      <c r="H35" s="60"/>
      <c r="I35" s="60"/>
      <c r="J35" s="82"/>
      <c r="K35" s="24"/>
      <c r="L35" s="28"/>
      <c r="M35" s="19"/>
    </row>
    <row r="36" spans="1:13" x14ac:dyDescent="0.2">
      <c r="A36" s="19"/>
      <c r="B36" s="24"/>
      <c r="C36" s="61" t="s">
        <v>42</v>
      </c>
      <c r="D36" s="62">
        <f>D33-D35</f>
        <v>0</v>
      </c>
      <c r="E36" s="68">
        <f>E33-E35</f>
        <v>0</v>
      </c>
      <c r="F36" s="62">
        <f>F33-F35</f>
        <v>0</v>
      </c>
      <c r="G36" s="62">
        <f>G33-G35</f>
        <v>0</v>
      </c>
      <c r="H36" s="62"/>
      <c r="I36" s="69" t="e">
        <f>(F30-G8)/G8</f>
        <v>#DIV/0!</v>
      </c>
      <c r="J36" s="83"/>
      <c r="K36" s="24"/>
      <c r="L36" s="28"/>
      <c r="M36" s="19"/>
    </row>
    <row r="37" spans="1:13" ht="13.5" thickBot="1" x14ac:dyDescent="0.25">
      <c r="A37" s="19"/>
      <c r="B37" s="63"/>
      <c r="C37" s="64" t="s">
        <v>43</v>
      </c>
      <c r="D37" s="70" t="e">
        <f>D33/D32</f>
        <v>#DIV/0!</v>
      </c>
      <c r="E37" s="70" t="e">
        <f>E33/E32</f>
        <v>#DIV/0!</v>
      </c>
      <c r="F37" s="70" t="e">
        <f>F33/F32</f>
        <v>#DIV/0!</v>
      </c>
      <c r="G37" s="70" t="e">
        <f>G33/G32</f>
        <v>#DIV/0!</v>
      </c>
      <c r="H37" s="71"/>
      <c r="I37" s="71"/>
      <c r="J37" s="85"/>
      <c r="K37" s="58"/>
      <c r="L37" s="50"/>
      <c r="M37" s="19"/>
    </row>
    <row r="38" spans="1:13" ht="14.25" thickTop="1" thickBot="1" x14ac:dyDescent="0.25">
      <c r="A38" s="19"/>
      <c r="B38" s="72"/>
      <c r="C38" s="73" t="s">
        <v>44</v>
      </c>
      <c r="D38" s="74" t="e">
        <f>D33/D35</f>
        <v>#DIV/0!</v>
      </c>
      <c r="E38" s="74" t="e">
        <f>E33/E35</f>
        <v>#DIV/0!</v>
      </c>
      <c r="F38" s="74" t="e">
        <f>F33/F35</f>
        <v>#DIV/0!</v>
      </c>
      <c r="G38" s="74" t="e">
        <f>G33/G35</f>
        <v>#DIV/0!</v>
      </c>
      <c r="H38" s="75"/>
      <c r="I38" s="75"/>
      <c r="J38" s="86"/>
      <c r="K38" s="19"/>
      <c r="L38" s="19"/>
      <c r="M38" s="19"/>
    </row>
    <row r="39" spans="1:13" ht="13.5" thickTop="1" x14ac:dyDescent="0.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</row>
    <row r="40" spans="1:13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</row>
    <row r="41" spans="1:13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</row>
    <row r="42" spans="1:13" x14ac:dyDescent="0.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</row>
    <row r="43" spans="1:13" x14ac:dyDescent="0.2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</row>
    <row r="44" spans="1:13" x14ac:dyDescent="0.2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</row>
  </sheetData>
  <pageMargins left="0" right="0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DD1D-04B1-44A1-98C9-8CD69050DAD1}">
  <dimension ref="A2:J30"/>
  <sheetViews>
    <sheetView workbookViewId="0">
      <selection activeCell="C31" sqref="C31"/>
    </sheetView>
  </sheetViews>
  <sheetFormatPr baseColWidth="10" defaultRowHeight="12.75" x14ac:dyDescent="0.2"/>
  <cols>
    <col min="3" max="4" width="47.28515625" bestFit="1" customWidth="1"/>
    <col min="5" max="5" width="22.5703125" customWidth="1"/>
    <col min="6" max="6" width="11.85546875" customWidth="1"/>
    <col min="7" max="7" width="14.28515625" customWidth="1"/>
  </cols>
  <sheetData>
    <row r="2" spans="1:10" x14ac:dyDescent="0.2">
      <c r="B2" s="129" t="s">
        <v>62</v>
      </c>
      <c r="C2" s="129"/>
      <c r="D2" s="129"/>
      <c r="E2" s="129"/>
      <c r="F2" s="129"/>
      <c r="G2" s="129"/>
    </row>
    <row r="3" spans="1:10" x14ac:dyDescent="0.2">
      <c r="B3" s="76" t="s">
        <v>45</v>
      </c>
      <c r="C3" s="76" t="s">
        <v>46</v>
      </c>
      <c r="D3" s="76" t="s">
        <v>47</v>
      </c>
      <c r="E3" s="76" t="s">
        <v>48</v>
      </c>
      <c r="F3" s="76" t="s">
        <v>49</v>
      </c>
      <c r="G3" s="76" t="s">
        <v>51</v>
      </c>
    </row>
    <row r="4" spans="1:10" x14ac:dyDescent="0.2">
      <c r="B4" s="77">
        <v>1</v>
      </c>
      <c r="C4" s="19" t="s">
        <v>52</v>
      </c>
      <c r="D4" s="19"/>
      <c r="E4" s="19"/>
      <c r="F4" s="78">
        <v>0</v>
      </c>
      <c r="G4" s="95">
        <f>Principal!$E$8*F4</f>
        <v>0</v>
      </c>
    </row>
    <row r="5" spans="1:10" x14ac:dyDescent="0.2">
      <c r="B5" s="77">
        <v>2</v>
      </c>
      <c r="C5" s="19" t="s">
        <v>65</v>
      </c>
      <c r="D5" s="19"/>
      <c r="E5" s="19"/>
      <c r="F5" s="78">
        <v>0</v>
      </c>
      <c r="G5" s="95">
        <f>Principal!$E$8*F5</f>
        <v>0</v>
      </c>
    </row>
    <row r="6" spans="1:10" x14ac:dyDescent="0.2">
      <c r="B6" s="77">
        <v>3</v>
      </c>
      <c r="C6" s="19" t="s">
        <v>59</v>
      </c>
      <c r="D6" s="19"/>
      <c r="E6" s="19"/>
      <c r="F6" s="78">
        <v>0</v>
      </c>
      <c r="G6" s="95">
        <f>Principal!$E$8*F6</f>
        <v>0</v>
      </c>
      <c r="H6" s="77"/>
      <c r="I6" s="77"/>
    </row>
    <row r="7" spans="1:10" x14ac:dyDescent="0.2">
      <c r="B7" s="77">
        <v>4</v>
      </c>
      <c r="C7" s="19"/>
      <c r="D7" s="19"/>
      <c r="E7" s="19"/>
      <c r="F7" s="78">
        <v>0</v>
      </c>
      <c r="G7" s="95">
        <f>Principal!$E$8*F7</f>
        <v>0</v>
      </c>
      <c r="H7" s="77"/>
      <c r="I7" s="77"/>
    </row>
    <row r="8" spans="1:10" x14ac:dyDescent="0.2">
      <c r="B8" s="87">
        <v>5</v>
      </c>
      <c r="C8" s="19"/>
      <c r="D8" s="19"/>
      <c r="E8" s="88"/>
      <c r="F8" s="78">
        <v>0</v>
      </c>
      <c r="G8" s="95">
        <f>Principal!$E$8*F8</f>
        <v>0</v>
      </c>
      <c r="H8" s="77"/>
      <c r="I8" s="77"/>
    </row>
    <row r="9" spans="1:10" x14ac:dyDescent="0.2">
      <c r="B9" s="77">
        <v>6</v>
      </c>
      <c r="C9" s="19"/>
      <c r="D9" s="19"/>
      <c r="E9" s="19"/>
      <c r="F9" s="78">
        <v>0</v>
      </c>
      <c r="G9" s="95">
        <f>Principal!$E$8*F9</f>
        <v>0</v>
      </c>
      <c r="H9" s="77"/>
      <c r="I9" s="77"/>
    </row>
    <row r="10" spans="1:10" x14ac:dyDescent="0.2">
      <c r="B10" s="77">
        <v>7</v>
      </c>
      <c r="C10" s="19"/>
      <c r="D10" s="19"/>
      <c r="E10" s="19"/>
      <c r="F10" s="78">
        <v>0</v>
      </c>
      <c r="G10" s="95">
        <f>Principal!$E$8*F10</f>
        <v>0</v>
      </c>
      <c r="H10" s="77"/>
      <c r="I10" s="77"/>
    </row>
    <row r="11" spans="1:10" x14ac:dyDescent="0.2">
      <c r="B11" s="77">
        <v>8</v>
      </c>
      <c r="C11" s="19"/>
      <c r="D11" s="19"/>
      <c r="E11" s="19"/>
      <c r="F11" s="78">
        <v>0</v>
      </c>
      <c r="G11" s="95">
        <f>Principal!$E$8*F11</f>
        <v>0</v>
      </c>
      <c r="H11" s="77"/>
      <c r="I11" s="77"/>
    </row>
    <row r="12" spans="1:10" x14ac:dyDescent="0.2">
      <c r="A12" s="89"/>
      <c r="B12" s="77">
        <v>9</v>
      </c>
      <c r="C12" s="19"/>
      <c r="D12" s="19"/>
      <c r="F12" s="78">
        <v>0</v>
      </c>
      <c r="G12" s="95">
        <f>Principal!$E$8*F12</f>
        <v>0</v>
      </c>
      <c r="H12" s="87"/>
      <c r="I12" s="87"/>
      <c r="J12" s="89"/>
    </row>
    <row r="13" spans="1:10" x14ac:dyDescent="0.2">
      <c r="B13" s="87">
        <v>10</v>
      </c>
      <c r="C13" s="19"/>
      <c r="D13" s="19"/>
      <c r="E13" s="19"/>
      <c r="F13" s="78">
        <v>0</v>
      </c>
      <c r="G13" s="95">
        <f>Principal!$E$8*F13</f>
        <v>0</v>
      </c>
      <c r="H13" s="77"/>
      <c r="I13" s="77"/>
    </row>
    <row r="14" spans="1:10" ht="13.5" thickBot="1" x14ac:dyDescent="0.25">
      <c r="E14" s="100" t="s">
        <v>12</v>
      </c>
      <c r="F14" s="101">
        <f>SUM(F4:F13)</f>
        <v>0</v>
      </c>
      <c r="G14" s="102">
        <f>SUM(G4:G13)</f>
        <v>0</v>
      </c>
    </row>
    <row r="15" spans="1:10" ht="13.5" thickTop="1" x14ac:dyDescent="0.2">
      <c r="D15" s="90"/>
      <c r="E15" s="90"/>
      <c r="F15" s="90"/>
      <c r="G15" s="90"/>
      <c r="H15" s="90"/>
      <c r="I15" s="90"/>
      <c r="J15" s="90"/>
    </row>
    <row r="16" spans="1:10" x14ac:dyDescent="0.2">
      <c r="D16" s="90"/>
      <c r="E16" s="90"/>
      <c r="F16" s="90"/>
      <c r="G16" s="90"/>
      <c r="H16" s="90"/>
      <c r="I16" s="90"/>
      <c r="J16" s="90"/>
    </row>
    <row r="17" spans="2:10" x14ac:dyDescent="0.2">
      <c r="B17" s="129" t="s">
        <v>63</v>
      </c>
      <c r="C17" s="129"/>
      <c r="D17" s="129"/>
      <c r="E17" s="129"/>
      <c r="F17" s="129"/>
      <c r="G17" s="129"/>
      <c r="H17" s="90"/>
      <c r="I17" s="90"/>
      <c r="J17" s="90"/>
    </row>
    <row r="18" spans="2:10" x14ac:dyDescent="0.2">
      <c r="B18" s="76" t="s">
        <v>45</v>
      </c>
      <c r="C18" s="76" t="s">
        <v>46</v>
      </c>
      <c r="D18" s="76" t="s">
        <v>47</v>
      </c>
      <c r="E18" s="76" t="s">
        <v>48</v>
      </c>
      <c r="F18" s="76" t="s">
        <v>49</v>
      </c>
      <c r="G18" s="76" t="s">
        <v>51</v>
      </c>
      <c r="H18" s="90"/>
      <c r="I18" s="90"/>
      <c r="J18" s="90"/>
    </row>
    <row r="19" spans="2:10" x14ac:dyDescent="0.2">
      <c r="B19" s="77">
        <v>1</v>
      </c>
      <c r="C19" s="19" t="str">
        <f>Principal!C22</f>
        <v>FABRICACIONES TANQUES</v>
      </c>
      <c r="D19" s="19"/>
      <c r="E19" s="19"/>
      <c r="F19" s="78">
        <v>1</v>
      </c>
      <c r="G19" s="95">
        <f>Principal!E22*F19</f>
        <v>0</v>
      </c>
      <c r="H19" s="90"/>
      <c r="I19" s="90"/>
      <c r="J19" s="90"/>
    </row>
    <row r="20" spans="2:10" x14ac:dyDescent="0.2">
      <c r="B20" s="77">
        <v>2</v>
      </c>
      <c r="C20" s="19" t="str">
        <f>Principal!C23</f>
        <v>FABRICACIONES TECHOS</v>
      </c>
      <c r="D20" s="19"/>
      <c r="E20" s="19"/>
      <c r="F20" s="78">
        <v>1</v>
      </c>
      <c r="G20" s="95">
        <f>Principal!E23*F20</f>
        <v>0</v>
      </c>
    </row>
    <row r="21" spans="2:10" x14ac:dyDescent="0.2">
      <c r="B21" s="77">
        <v>3</v>
      </c>
      <c r="C21" s="19" t="str">
        <f>Principal!C24</f>
        <v>FABRICACIONES [OTROS]</v>
      </c>
      <c r="D21" s="19"/>
      <c r="E21" s="19"/>
      <c r="F21" s="78">
        <v>1</v>
      </c>
      <c r="G21" s="95">
        <f>Principal!E24*F21</f>
        <v>0</v>
      </c>
    </row>
    <row r="22" spans="2:10" x14ac:dyDescent="0.2">
      <c r="B22" s="77">
        <v>4</v>
      </c>
      <c r="C22" s="19" t="str">
        <f>Principal!C25</f>
        <v>MONTAJE</v>
      </c>
      <c r="D22" s="19"/>
      <c r="E22" s="19"/>
      <c r="F22" s="78">
        <v>1</v>
      </c>
      <c r="G22" s="95">
        <f>Principal!E25*F22</f>
        <v>0</v>
      </c>
      <c r="J22" s="91"/>
    </row>
    <row r="23" spans="2:10" x14ac:dyDescent="0.2">
      <c r="B23" s="87">
        <v>5</v>
      </c>
      <c r="C23" s="19">
        <f>Principal!C26</f>
        <v>0</v>
      </c>
      <c r="D23" s="19"/>
      <c r="E23" s="19"/>
      <c r="F23" s="78">
        <v>1</v>
      </c>
      <c r="G23" s="95">
        <f>Principal!E26*F23</f>
        <v>0</v>
      </c>
    </row>
    <row r="24" spans="2:10" x14ac:dyDescent="0.2">
      <c r="B24" s="77">
        <v>6</v>
      </c>
      <c r="C24" s="19">
        <f>Principal!C27</f>
        <v>0</v>
      </c>
      <c r="D24" s="19"/>
      <c r="E24" s="19"/>
      <c r="F24" s="78">
        <v>1</v>
      </c>
      <c r="G24" s="95">
        <f>Principal!E27*F24</f>
        <v>0</v>
      </c>
    </row>
    <row r="25" spans="2:10" x14ac:dyDescent="0.2">
      <c r="B25" s="77">
        <v>7</v>
      </c>
      <c r="C25" s="19">
        <f>Principal!C28</f>
        <v>0</v>
      </c>
      <c r="D25" s="19"/>
      <c r="E25" s="19"/>
      <c r="F25" s="78">
        <v>1</v>
      </c>
      <c r="G25" s="95">
        <f>Principal!E28*F25</f>
        <v>0</v>
      </c>
    </row>
    <row r="26" spans="2:10" x14ac:dyDescent="0.2">
      <c r="B26" s="77">
        <v>8</v>
      </c>
      <c r="C26" s="19" t="str">
        <f>Principal!C29</f>
        <v>TRANSPORTES</v>
      </c>
      <c r="D26" s="19"/>
      <c r="E26" s="19"/>
      <c r="F26" s="78">
        <v>1</v>
      </c>
      <c r="G26" s="95">
        <f>Principal!E29*F26</f>
        <v>0</v>
      </c>
    </row>
    <row r="27" spans="2:10" x14ac:dyDescent="0.2">
      <c r="B27" s="77">
        <v>9</v>
      </c>
      <c r="C27" s="19"/>
      <c r="D27" s="19"/>
      <c r="F27" s="78">
        <v>0</v>
      </c>
      <c r="G27" s="95">
        <f>Principal!E30*F27</f>
        <v>0</v>
      </c>
    </row>
    <row r="28" spans="2:10" x14ac:dyDescent="0.2">
      <c r="B28" s="87">
        <v>10</v>
      </c>
      <c r="C28" s="19">
        <f>Principal!C31</f>
        <v>0</v>
      </c>
      <c r="D28" s="19"/>
      <c r="E28" s="19"/>
      <c r="F28" s="78">
        <v>0</v>
      </c>
      <c r="G28" s="95">
        <f>Principal!E31*F28</f>
        <v>0</v>
      </c>
    </row>
    <row r="29" spans="2:10" ht="13.5" thickBot="1" x14ac:dyDescent="0.25">
      <c r="E29" s="100" t="s">
        <v>12</v>
      </c>
      <c r="F29" s="101"/>
      <c r="G29" s="102">
        <f>SUM(G19:G28)</f>
        <v>0</v>
      </c>
    </row>
    <row r="30" spans="2:10" ht="13.5" thickTop="1" x14ac:dyDescent="0.2"/>
  </sheetData>
  <mergeCells count="2">
    <mergeCell ref="B2:G2"/>
    <mergeCell ref="B17:G17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B905D-E2BF-49A8-A7E5-FF97451889A0}">
  <dimension ref="B1:R42"/>
  <sheetViews>
    <sheetView showGridLines="0" zoomScale="90" zoomScaleNormal="90" workbookViewId="0">
      <selection activeCell="B31" sqref="B31"/>
    </sheetView>
  </sheetViews>
  <sheetFormatPr baseColWidth="10" defaultColWidth="13.5703125" defaultRowHeight="12.75" x14ac:dyDescent="0.2"/>
  <cols>
    <col min="1" max="1" width="4.5703125" style="11" customWidth="1"/>
    <col min="2" max="2" width="36.140625" style="11" customWidth="1"/>
    <col min="3" max="3" width="67.140625" style="11" customWidth="1"/>
    <col min="4" max="4" width="18.7109375" style="11" customWidth="1"/>
    <col min="5" max="5" width="12.7109375" style="11" customWidth="1"/>
    <col min="6" max="6" width="12.42578125" style="11" bestFit="1" customWidth="1"/>
    <col min="7" max="7" width="13.42578125" style="12" bestFit="1" customWidth="1"/>
    <col min="8" max="8" width="13.42578125" style="13" customWidth="1"/>
    <col min="9" max="12" width="13.140625" style="11" bestFit="1" customWidth="1"/>
    <col min="13" max="13" width="13.28515625" style="11" customWidth="1"/>
    <col min="14" max="14" width="13.7109375" style="11" bestFit="1" customWidth="1"/>
    <col min="15" max="16" width="14.28515625" style="11" bestFit="1" customWidth="1"/>
    <col min="17" max="16384" width="13.5703125" style="11"/>
  </cols>
  <sheetData>
    <row r="1" spans="2:17" s="1" customFormat="1" ht="33.75" x14ac:dyDescent="0.5">
      <c r="B1" s="133" t="s">
        <v>58</v>
      </c>
      <c r="C1" s="133"/>
      <c r="D1" s="133"/>
      <c r="E1" s="133"/>
      <c r="F1" s="133"/>
      <c r="G1" s="133"/>
      <c r="H1" s="133"/>
      <c r="I1" s="133"/>
      <c r="J1" s="133"/>
      <c r="K1" s="133"/>
      <c r="L1" s="3"/>
      <c r="M1" s="3"/>
      <c r="N1" s="3"/>
      <c r="O1" s="3"/>
      <c r="P1" s="3"/>
      <c r="Q1" s="3"/>
    </row>
    <row r="2" spans="2:17" s="1" customFormat="1" ht="6" customHeight="1" x14ac:dyDescent="0.5">
      <c r="B2" s="7"/>
      <c r="C2" s="7"/>
      <c r="D2" s="4"/>
      <c r="E2" s="5"/>
      <c r="F2" s="5"/>
      <c r="G2" s="5"/>
      <c r="H2" s="5"/>
      <c r="I2" s="2"/>
      <c r="J2" s="3"/>
      <c r="K2" s="3"/>
      <c r="L2" s="3"/>
      <c r="M2" s="3"/>
      <c r="N2" s="3"/>
      <c r="O2" s="3"/>
      <c r="P2" s="3"/>
      <c r="Q2" s="3"/>
    </row>
    <row r="3" spans="2:17" s="1" customFormat="1" ht="26.25" x14ac:dyDescent="0.4">
      <c r="B3" s="132" t="s">
        <v>55</v>
      </c>
      <c r="C3" s="132"/>
      <c r="D3" s="132"/>
      <c r="E3" s="132"/>
      <c r="F3" s="132"/>
      <c r="G3" s="132"/>
      <c r="H3" s="132"/>
      <c r="I3" s="132"/>
      <c r="J3" s="132"/>
      <c r="K3" s="132"/>
      <c r="L3" s="18"/>
      <c r="M3" s="18"/>
      <c r="N3" s="18"/>
      <c r="O3" s="18"/>
      <c r="P3" s="18"/>
      <c r="Q3" s="3"/>
    </row>
    <row r="4" spans="2:17" s="14" customFormat="1" ht="23.25" customHeight="1" x14ac:dyDescent="0.25">
      <c r="B4" s="15" t="s">
        <v>46</v>
      </c>
      <c r="C4" s="15" t="s">
        <v>54</v>
      </c>
      <c r="D4" s="15" t="s">
        <v>13</v>
      </c>
      <c r="E4" s="15" t="s">
        <v>10</v>
      </c>
      <c r="F4" s="15" t="s">
        <v>11</v>
      </c>
      <c r="G4" s="15" t="s">
        <v>0</v>
      </c>
      <c r="H4" s="15" t="s">
        <v>1</v>
      </c>
      <c r="I4" s="15" t="s">
        <v>2</v>
      </c>
      <c r="J4" s="15" t="s">
        <v>3</v>
      </c>
      <c r="K4" s="15" t="s">
        <v>4</v>
      </c>
      <c r="L4" s="15" t="s">
        <v>5</v>
      </c>
      <c r="M4" s="15" t="s">
        <v>6</v>
      </c>
      <c r="N4" s="15" t="s">
        <v>7</v>
      </c>
      <c r="O4" s="15" t="s">
        <v>8</v>
      </c>
      <c r="P4" s="15" t="s">
        <v>9</v>
      </c>
    </row>
    <row r="5" spans="2:17" s="1" customFormat="1" ht="15" x14ac:dyDescent="0.2">
      <c r="B5" s="93" t="str">
        <f>'Forma de Pago'!C4</f>
        <v>Anticipo</v>
      </c>
      <c r="C5" s="99">
        <f>'Forma de Pago'!D4</f>
        <v>0</v>
      </c>
      <c r="D5" s="80">
        <f>'Forma de Pago'!G4</f>
        <v>0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6"/>
    </row>
    <row r="6" spans="2:17" s="1" customFormat="1" ht="15" x14ac:dyDescent="0.2">
      <c r="B6" s="93" t="str">
        <f>'Forma de Pago'!C5</f>
        <v>Entrega</v>
      </c>
      <c r="C6" s="99">
        <f>'Forma de Pago'!D5</f>
        <v>0</v>
      </c>
      <c r="D6" s="80">
        <f>'Forma de Pago'!G5</f>
        <v>0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6"/>
    </row>
    <row r="7" spans="2:17" s="1" customFormat="1" ht="15" x14ac:dyDescent="0.2">
      <c r="B7" s="93" t="str">
        <f>'Forma de Pago'!C6</f>
        <v>Finalización</v>
      </c>
      <c r="C7" s="99">
        <f>'Forma de Pago'!D6</f>
        <v>0</v>
      </c>
      <c r="D7" s="80">
        <f>'Forma de Pago'!G6</f>
        <v>0</v>
      </c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6"/>
    </row>
    <row r="8" spans="2:17" s="1" customFormat="1" ht="15" x14ac:dyDescent="0.2">
      <c r="B8" s="93">
        <f>'Forma de Pago'!C7</f>
        <v>0</v>
      </c>
      <c r="C8" s="99">
        <f>'Forma de Pago'!D7</f>
        <v>0</v>
      </c>
      <c r="D8" s="80">
        <f>'Forma de Pago'!G7</f>
        <v>0</v>
      </c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6"/>
    </row>
    <row r="9" spans="2:17" s="1" customFormat="1" ht="15" x14ac:dyDescent="0.2">
      <c r="B9" s="93">
        <f>'Forma de Pago'!C8</f>
        <v>0</v>
      </c>
      <c r="C9" s="99">
        <f>'Forma de Pago'!D8</f>
        <v>0</v>
      </c>
      <c r="D9" s="80">
        <f>'Forma de Pago'!G8</f>
        <v>0</v>
      </c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6"/>
    </row>
    <row r="10" spans="2:17" s="1" customFormat="1" ht="15" x14ac:dyDescent="0.2">
      <c r="B10" s="93">
        <f>'Forma de Pago'!C9</f>
        <v>0</v>
      </c>
      <c r="C10" s="99">
        <f>'Forma de Pago'!D9</f>
        <v>0</v>
      </c>
      <c r="D10" s="80">
        <f t="shared" ref="D10:D14" si="0">SUM(E10:P10)</f>
        <v>0</v>
      </c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6"/>
    </row>
    <row r="11" spans="2:17" s="1" customFormat="1" ht="15" x14ac:dyDescent="0.2">
      <c r="B11" s="93">
        <f>'Forma de Pago'!C10</f>
        <v>0</v>
      </c>
      <c r="C11" s="99">
        <f>'Forma de Pago'!D10</f>
        <v>0</v>
      </c>
      <c r="D11" s="80">
        <f t="shared" si="0"/>
        <v>0</v>
      </c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6"/>
    </row>
    <row r="12" spans="2:17" s="1" customFormat="1" ht="15" x14ac:dyDescent="0.2">
      <c r="B12" s="93">
        <f>'Forma de Pago'!C11</f>
        <v>0</v>
      </c>
      <c r="C12" s="99">
        <f>'Forma de Pago'!D11</f>
        <v>0</v>
      </c>
      <c r="D12" s="80">
        <f t="shared" si="0"/>
        <v>0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6"/>
    </row>
    <row r="13" spans="2:17" s="1" customFormat="1" ht="15" x14ac:dyDescent="0.2">
      <c r="B13" s="93">
        <f>'Forma de Pago'!C12</f>
        <v>0</v>
      </c>
      <c r="C13" s="99">
        <f>'Forma de Pago'!D12</f>
        <v>0</v>
      </c>
      <c r="D13" s="80">
        <f t="shared" si="0"/>
        <v>0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6"/>
    </row>
    <row r="14" spans="2:17" s="1" customFormat="1" ht="15" x14ac:dyDescent="0.2">
      <c r="B14" s="93">
        <f>'Forma de Pago'!C13</f>
        <v>0</v>
      </c>
      <c r="C14" s="99">
        <f>'Forma de Pago'!D13</f>
        <v>0</v>
      </c>
      <c r="D14" s="80">
        <f t="shared" si="0"/>
        <v>0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6"/>
    </row>
    <row r="15" spans="2:17" ht="15" x14ac:dyDescent="0.2">
      <c r="B15" s="94" t="s">
        <v>12</v>
      </c>
      <c r="C15" s="8"/>
      <c r="D15" s="79">
        <f>SUM(D5:D14)</f>
        <v>0</v>
      </c>
      <c r="E15" s="8"/>
      <c r="F15" s="8"/>
      <c r="G15" s="8"/>
      <c r="H15" s="8"/>
      <c r="I15" s="8"/>
      <c r="J15" s="8"/>
      <c r="K15" s="9"/>
      <c r="L15" s="9"/>
      <c r="M15" s="9"/>
      <c r="N15" s="9"/>
      <c r="O15" s="9"/>
      <c r="P15" s="9"/>
      <c r="Q15" s="10"/>
    </row>
    <row r="16" spans="2:17" s="1" customFormat="1" ht="26.25" x14ac:dyDescent="0.4">
      <c r="B16" s="132" t="s">
        <v>56</v>
      </c>
      <c r="C16" s="132"/>
      <c r="D16" s="132"/>
      <c r="E16" s="132"/>
      <c r="F16" s="132"/>
      <c r="G16" s="132"/>
      <c r="H16" s="132"/>
      <c r="I16" s="132"/>
      <c r="J16" s="132"/>
      <c r="K16" s="132"/>
      <c r="L16" s="18"/>
      <c r="M16" s="18"/>
      <c r="N16" s="18"/>
      <c r="O16" s="18"/>
      <c r="P16" s="18"/>
      <c r="Q16" s="3"/>
    </row>
    <row r="17" spans="2:18" s="14" customFormat="1" ht="23.25" customHeight="1" x14ac:dyDescent="0.25">
      <c r="B17" s="15" t="s">
        <v>46</v>
      </c>
      <c r="C17" s="15" t="s">
        <v>54</v>
      </c>
      <c r="D17" s="15" t="s">
        <v>13</v>
      </c>
      <c r="E17" s="15" t="str">
        <f>E4</f>
        <v>Noviembre</v>
      </c>
      <c r="F17" s="15" t="str">
        <f t="shared" ref="F17:P17" si="1">F4</f>
        <v>Diciembre</v>
      </c>
      <c r="G17" s="15" t="str">
        <f t="shared" si="1"/>
        <v>Enero</v>
      </c>
      <c r="H17" s="15" t="str">
        <f t="shared" si="1"/>
        <v>Febrero</v>
      </c>
      <c r="I17" s="15" t="str">
        <f t="shared" si="1"/>
        <v>Marzo</v>
      </c>
      <c r="J17" s="15" t="str">
        <f t="shared" si="1"/>
        <v>Abril</v>
      </c>
      <c r="K17" s="15" t="str">
        <f t="shared" si="1"/>
        <v>Mayo</v>
      </c>
      <c r="L17" s="15" t="str">
        <f t="shared" si="1"/>
        <v>Junio</v>
      </c>
      <c r="M17" s="15" t="str">
        <f t="shared" si="1"/>
        <v>Julio</v>
      </c>
      <c r="N17" s="15" t="str">
        <f t="shared" si="1"/>
        <v>Agosto</v>
      </c>
      <c r="O17" s="15" t="str">
        <f t="shared" si="1"/>
        <v>Septiembre</v>
      </c>
      <c r="P17" s="15" t="str">
        <f t="shared" si="1"/>
        <v>Octubre</v>
      </c>
    </row>
    <row r="18" spans="2:18" s="1" customFormat="1" ht="15" x14ac:dyDescent="0.2">
      <c r="B18" s="103" t="str">
        <f>'Forma de Pago'!C19</f>
        <v>FABRICACIONES TANQUES</v>
      </c>
      <c r="C18" s="96">
        <f>'Forma de Pago'!D19</f>
        <v>0</v>
      </c>
      <c r="D18" s="80">
        <f>-('Forma de Pago'!G19)</f>
        <v>0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6"/>
    </row>
    <row r="19" spans="2:18" s="1" customFormat="1" ht="16.5" customHeight="1" x14ac:dyDescent="0.2">
      <c r="B19" s="103" t="str">
        <f>'Forma de Pago'!C20</f>
        <v>FABRICACIONES TECHOS</v>
      </c>
      <c r="C19" s="96">
        <f>'Forma de Pago'!D20</f>
        <v>0</v>
      </c>
      <c r="D19" s="80">
        <f>-('Forma de Pago'!G20)</f>
        <v>0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6"/>
    </row>
    <row r="20" spans="2:18" s="1" customFormat="1" ht="15.75" customHeight="1" x14ac:dyDescent="0.2">
      <c r="B20" s="103" t="str">
        <f>'Forma de Pago'!C21</f>
        <v>FABRICACIONES [OTROS]</v>
      </c>
      <c r="C20" s="96">
        <f>'Forma de Pago'!D21</f>
        <v>0</v>
      </c>
      <c r="D20" s="80">
        <f>-('Forma de Pago'!G21)</f>
        <v>0</v>
      </c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6"/>
    </row>
    <row r="21" spans="2:18" s="1" customFormat="1" ht="15" x14ac:dyDescent="0.2">
      <c r="B21" s="103" t="str">
        <f>'Forma de Pago'!C22</f>
        <v>MONTAJE</v>
      </c>
      <c r="C21" s="96">
        <f>'Forma de Pago'!D22</f>
        <v>0</v>
      </c>
      <c r="D21" s="80">
        <f>-('Forma de Pago'!G22)</f>
        <v>0</v>
      </c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6"/>
    </row>
    <row r="22" spans="2:18" s="1" customFormat="1" ht="15" x14ac:dyDescent="0.2">
      <c r="B22" s="103">
        <f>'Forma de Pago'!C23</f>
        <v>0</v>
      </c>
      <c r="C22" s="96">
        <f>'Forma de Pago'!D23</f>
        <v>0</v>
      </c>
      <c r="D22" s="80">
        <f>-('Forma de Pago'!G23)</f>
        <v>0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6"/>
    </row>
    <row r="23" spans="2:18" s="1" customFormat="1" ht="15" x14ac:dyDescent="0.2">
      <c r="B23" s="103">
        <f>'Forma de Pago'!C24</f>
        <v>0</v>
      </c>
      <c r="C23" s="96">
        <f>'Forma de Pago'!D24</f>
        <v>0</v>
      </c>
      <c r="D23" s="80">
        <f>-('Forma de Pago'!G24)</f>
        <v>0</v>
      </c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6"/>
    </row>
    <row r="24" spans="2:18" s="1" customFormat="1" ht="15" x14ac:dyDescent="0.2">
      <c r="B24" s="103">
        <f>'Forma de Pago'!C25</f>
        <v>0</v>
      </c>
      <c r="C24" s="96">
        <f>'Forma de Pago'!D25</f>
        <v>0</v>
      </c>
      <c r="D24" s="80">
        <f>-('Forma de Pago'!G25)</f>
        <v>0</v>
      </c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6"/>
    </row>
    <row r="25" spans="2:18" s="1" customFormat="1" ht="15" x14ac:dyDescent="0.2">
      <c r="B25" s="103" t="str">
        <f>'Forma de Pago'!C26</f>
        <v>TRANSPORTES</v>
      </c>
      <c r="C25" s="96">
        <f>'Forma de Pago'!D26</f>
        <v>0</v>
      </c>
      <c r="D25" s="80">
        <f>-('Forma de Pago'!G26)</f>
        <v>0</v>
      </c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6"/>
    </row>
    <row r="26" spans="2:18" s="1" customFormat="1" ht="15" x14ac:dyDescent="0.2">
      <c r="B26" s="103">
        <f>'Forma de Pago'!C27</f>
        <v>0</v>
      </c>
      <c r="C26" s="96">
        <f>'Forma de Pago'!D27</f>
        <v>0</v>
      </c>
      <c r="D26" s="80">
        <f>-('Forma de Pago'!G27)</f>
        <v>0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6"/>
    </row>
    <row r="27" spans="2:18" ht="15" x14ac:dyDescent="0.2">
      <c r="B27" s="103">
        <f>'Forma de Pago'!C28</f>
        <v>0</v>
      </c>
      <c r="C27" s="96">
        <f>'Forma de Pago'!D28</f>
        <v>0</v>
      </c>
      <c r="D27" s="80">
        <f>-('Forma de Pago'!G28)</f>
        <v>0</v>
      </c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10"/>
    </row>
    <row r="28" spans="2:18" ht="12" x14ac:dyDescent="0.2">
      <c r="B28" s="8"/>
      <c r="C28" s="8"/>
      <c r="D28" s="8"/>
      <c r="E28" s="8"/>
      <c r="F28" s="8"/>
      <c r="G28" s="8"/>
      <c r="H28" s="8"/>
      <c r="I28" s="8"/>
      <c r="J28" s="8"/>
      <c r="K28" s="9"/>
      <c r="L28" s="9"/>
      <c r="M28" s="9"/>
      <c r="N28" s="9"/>
      <c r="O28" s="9"/>
      <c r="P28" s="9"/>
      <c r="Q28" s="10"/>
    </row>
    <row r="29" spans="2:18" ht="15" x14ac:dyDescent="0.2">
      <c r="B29" s="94" t="s">
        <v>12</v>
      </c>
      <c r="C29" s="94"/>
      <c r="D29" s="79">
        <f>SUM(D18:D28)</f>
        <v>0</v>
      </c>
      <c r="E29" s="8"/>
      <c r="F29" s="8"/>
      <c r="G29" s="8"/>
      <c r="H29" s="8"/>
      <c r="I29" s="8"/>
      <c r="J29" s="8"/>
      <c r="K29" s="9"/>
      <c r="L29" s="9"/>
      <c r="M29" s="9"/>
      <c r="N29" s="9"/>
      <c r="O29" s="9"/>
      <c r="P29" s="9"/>
      <c r="Q29" s="10"/>
    </row>
    <row r="30" spans="2:18" ht="15" x14ac:dyDescent="0.2">
      <c r="E30" s="79">
        <f t="shared" ref="E30:P30" si="2">SUM(E5:E27)</f>
        <v>0</v>
      </c>
      <c r="F30" s="79">
        <f t="shared" si="2"/>
        <v>0</v>
      </c>
      <c r="G30" s="79">
        <f t="shared" si="2"/>
        <v>0</v>
      </c>
      <c r="H30" s="79">
        <f t="shared" si="2"/>
        <v>0</v>
      </c>
      <c r="I30" s="79">
        <f t="shared" si="2"/>
        <v>0</v>
      </c>
      <c r="J30" s="79">
        <f t="shared" si="2"/>
        <v>0</v>
      </c>
      <c r="K30" s="79">
        <f t="shared" si="2"/>
        <v>0</v>
      </c>
      <c r="L30" s="79">
        <f t="shared" si="2"/>
        <v>0</v>
      </c>
      <c r="M30" s="79">
        <f t="shared" si="2"/>
        <v>0</v>
      </c>
      <c r="N30" s="79">
        <f t="shared" si="2"/>
        <v>0</v>
      </c>
      <c r="O30" s="79">
        <f t="shared" si="2"/>
        <v>0</v>
      </c>
      <c r="P30" s="79">
        <f t="shared" si="2"/>
        <v>0</v>
      </c>
      <c r="Q30" s="17"/>
      <c r="R30" s="16"/>
    </row>
    <row r="31" spans="2:18" x14ac:dyDescent="0.2">
      <c r="I31" s="13"/>
      <c r="J31" s="13"/>
      <c r="K31" s="13"/>
      <c r="L31" s="13"/>
      <c r="M31" s="13"/>
    </row>
    <row r="32" spans="2:18" ht="28.5" customHeight="1" x14ac:dyDescent="0.2">
      <c r="B32" s="130" t="s">
        <v>57</v>
      </c>
      <c r="C32" s="130"/>
      <c r="D32" s="131"/>
      <c r="E32" s="97">
        <f>SUM($E$30:E30)</f>
        <v>0</v>
      </c>
      <c r="F32" s="79">
        <f>SUM($E$30:F30)</f>
        <v>0</v>
      </c>
      <c r="G32" s="97">
        <f>SUM($E$30:G30)</f>
        <v>0</v>
      </c>
      <c r="H32" s="97">
        <f>SUM($E$30:H30)</f>
        <v>0</v>
      </c>
      <c r="I32" s="97">
        <f>SUM($E$30:I30)</f>
        <v>0</v>
      </c>
      <c r="J32" s="97">
        <f>SUM($E$30:J30)</f>
        <v>0</v>
      </c>
      <c r="K32" s="97">
        <f>SUM($E$30:K30)</f>
        <v>0</v>
      </c>
      <c r="L32" s="97">
        <f>SUM($E$30:L30)</f>
        <v>0</v>
      </c>
      <c r="M32" s="97">
        <f>SUM($E$30:M30)</f>
        <v>0</v>
      </c>
      <c r="N32" s="97">
        <f>SUM($E$30:N30)</f>
        <v>0</v>
      </c>
      <c r="O32" s="97">
        <f>SUM($E$30:O30)</f>
        <v>0</v>
      </c>
      <c r="P32" s="97">
        <f>SUM($E$30:P30)</f>
        <v>0</v>
      </c>
    </row>
    <row r="33" spans="2:13" x14ac:dyDescent="0.2">
      <c r="I33" s="13"/>
      <c r="J33" s="13"/>
      <c r="K33" s="13"/>
      <c r="L33" s="13"/>
      <c r="M33" s="13"/>
    </row>
    <row r="34" spans="2:13" x14ac:dyDescent="0.2">
      <c r="I34" s="13"/>
      <c r="J34" s="13"/>
      <c r="K34" s="13"/>
      <c r="L34" s="13"/>
      <c r="M34" s="13"/>
    </row>
    <row r="35" spans="2:13" x14ac:dyDescent="0.2">
      <c r="I35" s="13"/>
      <c r="J35" s="13"/>
      <c r="K35" s="13"/>
      <c r="L35" s="13"/>
      <c r="M35" s="13"/>
    </row>
    <row r="36" spans="2:13" x14ac:dyDescent="0.2">
      <c r="B36" s="92" t="s">
        <v>53</v>
      </c>
      <c r="C36" s="92"/>
      <c r="D36" s="11" t="s">
        <v>54</v>
      </c>
      <c r="I36" s="13"/>
      <c r="J36" s="13"/>
      <c r="K36" s="13"/>
      <c r="L36" s="13"/>
      <c r="M36" s="13"/>
    </row>
    <row r="37" spans="2:13" x14ac:dyDescent="0.2">
      <c r="B37" s="92">
        <v>0</v>
      </c>
      <c r="C37" s="92"/>
      <c r="I37" s="13"/>
      <c r="J37" s="13"/>
      <c r="K37" s="13"/>
      <c r="L37" s="13"/>
      <c r="M37" s="13"/>
    </row>
    <row r="38" spans="2:13" x14ac:dyDescent="0.2">
      <c r="B38" s="92">
        <v>1</v>
      </c>
      <c r="C38" s="92"/>
      <c r="I38" s="13"/>
      <c r="J38" s="13"/>
      <c r="K38" s="13"/>
      <c r="L38" s="13"/>
      <c r="M38" s="13"/>
    </row>
    <row r="39" spans="2:13" x14ac:dyDescent="0.2">
      <c r="B39" s="92">
        <v>2</v>
      </c>
      <c r="C39" s="92"/>
      <c r="I39" s="13"/>
      <c r="J39" s="13"/>
      <c r="K39" s="13"/>
      <c r="L39" s="13"/>
      <c r="M39" s="13"/>
    </row>
    <row r="40" spans="2:13" x14ac:dyDescent="0.2">
      <c r="B40" s="92">
        <v>3</v>
      </c>
      <c r="C40" s="92"/>
      <c r="I40" s="13"/>
      <c r="J40" s="13"/>
      <c r="K40" s="13"/>
      <c r="L40" s="13"/>
      <c r="M40" s="13"/>
    </row>
    <row r="41" spans="2:13" x14ac:dyDescent="0.2">
      <c r="B41" s="92">
        <v>4</v>
      </c>
      <c r="C41" s="92"/>
      <c r="I41" s="13"/>
      <c r="J41" s="13"/>
      <c r="K41" s="13"/>
      <c r="L41" s="13"/>
      <c r="M41" s="13"/>
    </row>
    <row r="42" spans="2:13" x14ac:dyDescent="0.2">
      <c r="B42" s="92">
        <v>5</v>
      </c>
      <c r="C42" s="92"/>
    </row>
  </sheetData>
  <dataConsolidate/>
  <mergeCells count="4">
    <mergeCell ref="B32:D32"/>
    <mergeCell ref="B3:K3"/>
    <mergeCell ref="B16:K16"/>
    <mergeCell ref="B1:K1"/>
  </mergeCells>
  <phoneticPr fontId="22" type="noConversion"/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6B42-3A9D-4ABD-B78D-592EF9CDEABD}">
  <dimension ref="B1:R42"/>
  <sheetViews>
    <sheetView showGridLines="0" zoomScale="90" zoomScaleNormal="90" workbookViewId="0">
      <selection activeCell="B32" sqref="B32:D32"/>
    </sheetView>
  </sheetViews>
  <sheetFormatPr baseColWidth="10" defaultColWidth="13.5703125" defaultRowHeight="12.75" x14ac:dyDescent="0.2"/>
  <cols>
    <col min="1" max="1" width="4.5703125" style="11" customWidth="1"/>
    <col min="2" max="2" width="31.5703125" style="11" customWidth="1"/>
    <col min="3" max="3" width="67.140625" style="11" customWidth="1"/>
    <col min="4" max="4" width="18.7109375" style="11" customWidth="1"/>
    <col min="5" max="5" width="12.7109375" style="11" customWidth="1"/>
    <col min="6" max="6" width="12.42578125" style="11" bestFit="1" customWidth="1"/>
    <col min="7" max="7" width="12.7109375" style="12" bestFit="1" customWidth="1"/>
    <col min="8" max="8" width="13.42578125" style="13" customWidth="1"/>
    <col min="9" max="12" width="13.140625" style="11" bestFit="1" customWidth="1"/>
    <col min="13" max="13" width="13.28515625" style="11" customWidth="1"/>
    <col min="14" max="14" width="13.7109375" style="11" bestFit="1" customWidth="1"/>
    <col min="15" max="16" width="14.28515625" style="11" bestFit="1" customWidth="1"/>
    <col min="17" max="16384" width="13.5703125" style="11"/>
  </cols>
  <sheetData>
    <row r="1" spans="2:17" s="1" customFormat="1" ht="33.75" x14ac:dyDescent="0.5">
      <c r="B1" s="133" t="s">
        <v>58</v>
      </c>
      <c r="C1" s="133"/>
      <c r="D1" s="133"/>
      <c r="E1" s="133"/>
      <c r="F1" s="133"/>
      <c r="G1" s="133"/>
      <c r="H1" s="133"/>
      <c r="I1" s="133"/>
      <c r="J1" s="133"/>
      <c r="K1" s="133"/>
      <c r="L1" s="3"/>
      <c r="M1" s="3"/>
      <c r="N1" s="3"/>
      <c r="O1" s="3"/>
      <c r="P1" s="3"/>
      <c r="Q1" s="3"/>
    </row>
    <row r="2" spans="2:17" s="1" customFormat="1" ht="6" customHeight="1" x14ac:dyDescent="0.5">
      <c r="B2" s="7"/>
      <c r="C2" s="7"/>
      <c r="D2" s="4"/>
      <c r="E2" s="5"/>
      <c r="F2" s="5"/>
      <c r="G2" s="5"/>
      <c r="H2" s="5"/>
      <c r="I2" s="2"/>
      <c r="J2" s="3"/>
      <c r="K2" s="3"/>
      <c r="L2" s="3"/>
      <c r="M2" s="3"/>
      <c r="N2" s="3"/>
      <c r="O2" s="3"/>
      <c r="P2" s="3"/>
      <c r="Q2" s="3"/>
    </row>
    <row r="3" spans="2:17" s="1" customFormat="1" ht="26.25" x14ac:dyDescent="0.4">
      <c r="B3" s="132" t="s">
        <v>55</v>
      </c>
      <c r="C3" s="132"/>
      <c r="D3" s="132"/>
      <c r="E3" s="132"/>
      <c r="F3" s="132"/>
      <c r="G3" s="132"/>
      <c r="H3" s="132"/>
      <c r="I3" s="132"/>
      <c r="J3" s="132"/>
      <c r="K3" s="132"/>
      <c r="L3" s="18"/>
      <c r="M3" s="18"/>
      <c r="N3" s="18"/>
      <c r="O3" s="18"/>
      <c r="P3" s="18"/>
      <c r="Q3" s="3"/>
    </row>
    <row r="4" spans="2:17" s="14" customFormat="1" ht="23.25" customHeight="1" x14ac:dyDescent="0.25">
      <c r="B4" s="15" t="s">
        <v>46</v>
      </c>
      <c r="C4" s="15" t="s">
        <v>54</v>
      </c>
      <c r="D4" s="15" t="s">
        <v>13</v>
      </c>
      <c r="E4" s="15" t="str">
        <f>'Cash Flow (Previsto)'!E4</f>
        <v>Noviembre</v>
      </c>
      <c r="F4" s="15" t="str">
        <f>'Cash Flow (Previsto)'!F4</f>
        <v>Diciembre</v>
      </c>
      <c r="G4" s="15" t="str">
        <f>'Cash Flow (Previsto)'!G4</f>
        <v>Enero</v>
      </c>
      <c r="H4" s="15" t="str">
        <f>'Cash Flow (Previsto)'!H4</f>
        <v>Febrero</v>
      </c>
      <c r="I4" s="15" t="str">
        <f>'Cash Flow (Previsto)'!I4</f>
        <v>Marzo</v>
      </c>
      <c r="J4" s="15" t="str">
        <f>'Cash Flow (Previsto)'!J4</f>
        <v>Abril</v>
      </c>
      <c r="K4" s="15" t="str">
        <f>'Cash Flow (Previsto)'!K4</f>
        <v>Mayo</v>
      </c>
      <c r="L4" s="15" t="str">
        <f>'Cash Flow (Previsto)'!L4</f>
        <v>Junio</v>
      </c>
      <c r="M4" s="15" t="str">
        <f>'Cash Flow (Previsto)'!M4</f>
        <v>Julio</v>
      </c>
      <c r="N4" s="15" t="str">
        <f>'Cash Flow (Previsto)'!N4</f>
        <v>Agosto</v>
      </c>
      <c r="O4" s="15" t="str">
        <f>'Cash Flow (Previsto)'!O4</f>
        <v>Septiembre</v>
      </c>
      <c r="P4" s="15" t="str">
        <f>'Cash Flow (Previsto)'!P4</f>
        <v>Octubre</v>
      </c>
    </row>
    <row r="5" spans="2:17" s="1" customFormat="1" ht="15" x14ac:dyDescent="0.2">
      <c r="B5" s="93" t="str">
        <f>'Forma de Pago'!C4</f>
        <v>Anticipo</v>
      </c>
      <c r="C5" s="99">
        <f>'Forma de Pago'!D4</f>
        <v>0</v>
      </c>
      <c r="D5" s="80">
        <f>'Forma de Pago'!G4</f>
        <v>0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6"/>
    </row>
    <row r="6" spans="2:17" s="1" customFormat="1" ht="15" x14ac:dyDescent="0.2">
      <c r="B6" s="93" t="str">
        <f>'Forma de Pago'!C5</f>
        <v>Entrega</v>
      </c>
      <c r="C6" s="99">
        <f>'Forma de Pago'!D5</f>
        <v>0</v>
      </c>
      <c r="D6" s="80">
        <f>'Forma de Pago'!G5</f>
        <v>0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6"/>
    </row>
    <row r="7" spans="2:17" s="1" customFormat="1" ht="15" x14ac:dyDescent="0.2">
      <c r="B7" s="93" t="str">
        <f>'Forma de Pago'!C6</f>
        <v>Finalización</v>
      </c>
      <c r="C7" s="99">
        <f>'Forma de Pago'!D6</f>
        <v>0</v>
      </c>
      <c r="D7" s="80">
        <f>'Forma de Pago'!G6</f>
        <v>0</v>
      </c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6"/>
    </row>
    <row r="8" spans="2:17" s="1" customFormat="1" ht="15" x14ac:dyDescent="0.2">
      <c r="B8" s="93">
        <f>'Forma de Pago'!C7</f>
        <v>0</v>
      </c>
      <c r="C8" s="99">
        <f>'Forma de Pago'!D7</f>
        <v>0</v>
      </c>
      <c r="D8" s="80">
        <f>'Forma de Pago'!G7</f>
        <v>0</v>
      </c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6"/>
    </row>
    <row r="9" spans="2:17" s="1" customFormat="1" ht="15" x14ac:dyDescent="0.2">
      <c r="B9" s="93">
        <f>'Forma de Pago'!C8</f>
        <v>0</v>
      </c>
      <c r="C9" s="99">
        <f>'Forma de Pago'!D8</f>
        <v>0</v>
      </c>
      <c r="D9" s="80">
        <f>'Forma de Pago'!G8</f>
        <v>0</v>
      </c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6"/>
    </row>
    <row r="10" spans="2:17" s="1" customFormat="1" ht="15" x14ac:dyDescent="0.2">
      <c r="B10" s="93">
        <f>'Forma de Pago'!C9</f>
        <v>0</v>
      </c>
      <c r="C10" s="99">
        <f>'Forma de Pago'!D9</f>
        <v>0</v>
      </c>
      <c r="D10" s="80">
        <f t="shared" ref="D10:D14" si="0">SUM(E10:P10)</f>
        <v>0</v>
      </c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6"/>
    </row>
    <row r="11" spans="2:17" s="1" customFormat="1" ht="15" x14ac:dyDescent="0.2">
      <c r="B11" s="93">
        <f>'Forma de Pago'!C10</f>
        <v>0</v>
      </c>
      <c r="C11" s="99">
        <f>'Forma de Pago'!D10</f>
        <v>0</v>
      </c>
      <c r="D11" s="80">
        <f t="shared" si="0"/>
        <v>0</v>
      </c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6"/>
    </row>
    <row r="12" spans="2:17" s="1" customFormat="1" ht="15" x14ac:dyDescent="0.2">
      <c r="B12" s="93">
        <f>'Forma de Pago'!C11</f>
        <v>0</v>
      </c>
      <c r="C12" s="99">
        <f>'Forma de Pago'!D11</f>
        <v>0</v>
      </c>
      <c r="D12" s="80">
        <f t="shared" si="0"/>
        <v>0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6"/>
    </row>
    <row r="13" spans="2:17" s="1" customFormat="1" ht="15" x14ac:dyDescent="0.2">
      <c r="B13" s="93">
        <f>'Forma de Pago'!C12</f>
        <v>0</v>
      </c>
      <c r="C13" s="99">
        <f>'Forma de Pago'!D12</f>
        <v>0</v>
      </c>
      <c r="D13" s="80">
        <f t="shared" si="0"/>
        <v>0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6"/>
    </row>
    <row r="14" spans="2:17" s="1" customFormat="1" ht="15" x14ac:dyDescent="0.2">
      <c r="B14" s="93">
        <f>'Forma de Pago'!C13</f>
        <v>0</v>
      </c>
      <c r="C14" s="99">
        <f>'Forma de Pago'!D13</f>
        <v>0</v>
      </c>
      <c r="D14" s="80">
        <f t="shared" si="0"/>
        <v>0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6"/>
    </row>
    <row r="15" spans="2:17" ht="15" x14ac:dyDescent="0.2">
      <c r="B15" s="98" t="s">
        <v>12</v>
      </c>
      <c r="C15" s="8"/>
      <c r="D15" s="79">
        <f>SUM(D5:D14)</f>
        <v>0</v>
      </c>
      <c r="E15" s="8"/>
      <c r="F15" s="8"/>
      <c r="G15" s="8"/>
      <c r="H15" s="8"/>
      <c r="I15" s="8"/>
      <c r="J15" s="8"/>
      <c r="K15" s="9"/>
      <c r="L15" s="9"/>
      <c r="M15" s="9"/>
      <c r="N15" s="9"/>
      <c r="O15" s="9"/>
      <c r="P15" s="9"/>
      <c r="Q15" s="10"/>
    </row>
    <row r="16" spans="2:17" s="1" customFormat="1" ht="26.25" x14ac:dyDescent="0.4">
      <c r="B16" s="132" t="s">
        <v>56</v>
      </c>
      <c r="C16" s="132"/>
      <c r="D16" s="132"/>
      <c r="E16" s="132"/>
      <c r="F16" s="132"/>
      <c r="G16" s="132"/>
      <c r="H16" s="132"/>
      <c r="I16" s="132"/>
      <c r="J16" s="132"/>
      <c r="K16" s="132"/>
      <c r="L16" s="18"/>
      <c r="M16" s="18"/>
      <c r="N16" s="18"/>
      <c r="O16" s="18"/>
      <c r="P16" s="18"/>
      <c r="Q16" s="3"/>
    </row>
    <row r="17" spans="2:18" s="14" customFormat="1" ht="23.25" customHeight="1" x14ac:dyDescent="0.25">
      <c r="B17" s="15" t="s">
        <v>46</v>
      </c>
      <c r="C17" s="15" t="s">
        <v>54</v>
      </c>
      <c r="D17" s="15" t="s">
        <v>13</v>
      </c>
      <c r="E17" s="15" t="str">
        <f>E4</f>
        <v>Noviembre</v>
      </c>
      <c r="F17" s="15" t="str">
        <f t="shared" ref="F17:P17" si="1">F4</f>
        <v>Diciembre</v>
      </c>
      <c r="G17" s="15" t="str">
        <f t="shared" si="1"/>
        <v>Enero</v>
      </c>
      <c r="H17" s="15" t="str">
        <f t="shared" si="1"/>
        <v>Febrero</v>
      </c>
      <c r="I17" s="15" t="str">
        <f t="shared" si="1"/>
        <v>Marzo</v>
      </c>
      <c r="J17" s="15" t="str">
        <f t="shared" si="1"/>
        <v>Abril</v>
      </c>
      <c r="K17" s="15" t="str">
        <f t="shared" si="1"/>
        <v>Mayo</v>
      </c>
      <c r="L17" s="15" t="str">
        <f t="shared" si="1"/>
        <v>Junio</v>
      </c>
      <c r="M17" s="15" t="str">
        <f t="shared" si="1"/>
        <v>Julio</v>
      </c>
      <c r="N17" s="15" t="str">
        <f t="shared" si="1"/>
        <v>Agosto</v>
      </c>
      <c r="O17" s="15" t="str">
        <f t="shared" si="1"/>
        <v>Septiembre</v>
      </c>
      <c r="P17" s="15" t="str">
        <f t="shared" si="1"/>
        <v>Octubre</v>
      </c>
    </row>
    <row r="18" spans="2:18" s="1" customFormat="1" ht="15" x14ac:dyDescent="0.2">
      <c r="B18" s="103" t="str">
        <f>'Forma de Pago'!C19</f>
        <v>FABRICACIONES TANQUES</v>
      </c>
      <c r="C18" s="96">
        <f>'Forma de Pago'!D19</f>
        <v>0</v>
      </c>
      <c r="D18" s="80">
        <f>-'Forma de Pago'!G19</f>
        <v>0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6"/>
    </row>
    <row r="19" spans="2:18" s="1" customFormat="1" ht="15" x14ac:dyDescent="0.2">
      <c r="B19" s="103" t="str">
        <f>'Forma de Pago'!C20</f>
        <v>FABRICACIONES TECHOS</v>
      </c>
      <c r="C19" s="96">
        <f>'Forma de Pago'!D20</f>
        <v>0</v>
      </c>
      <c r="D19" s="80">
        <f>-'Forma de Pago'!G20</f>
        <v>0</v>
      </c>
      <c r="E19" s="80"/>
      <c r="G19" s="80"/>
      <c r="I19" s="80"/>
      <c r="J19" s="80"/>
      <c r="K19" s="80"/>
      <c r="L19" s="80"/>
      <c r="M19" s="80"/>
      <c r="N19" s="80"/>
      <c r="O19" s="80"/>
      <c r="P19" s="80"/>
      <c r="Q19" s="6"/>
    </row>
    <row r="20" spans="2:18" s="1" customFormat="1" ht="15" x14ac:dyDescent="0.2">
      <c r="B20" s="103" t="str">
        <f>'Forma de Pago'!C21</f>
        <v>FABRICACIONES [OTROS]</v>
      </c>
      <c r="C20" s="96">
        <f>'Forma de Pago'!D21</f>
        <v>0</v>
      </c>
      <c r="D20" s="80">
        <f>-'Forma de Pago'!G21</f>
        <v>0</v>
      </c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6"/>
    </row>
    <row r="21" spans="2:18" s="1" customFormat="1" ht="15" x14ac:dyDescent="0.2">
      <c r="B21" s="103" t="str">
        <f>'Forma de Pago'!C22</f>
        <v>MONTAJE</v>
      </c>
      <c r="C21" s="96">
        <f>'Forma de Pago'!D22</f>
        <v>0</v>
      </c>
      <c r="D21" s="80">
        <f>'Forma de Pago'!G22</f>
        <v>0</v>
      </c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6"/>
    </row>
    <row r="22" spans="2:18" s="1" customFormat="1" ht="15" x14ac:dyDescent="0.2">
      <c r="B22" s="103">
        <f>'Forma de Pago'!C23</f>
        <v>0</v>
      </c>
      <c r="C22" s="96">
        <f>'Forma de Pago'!D23</f>
        <v>0</v>
      </c>
      <c r="D22" s="80">
        <f>'Forma de Pago'!G23</f>
        <v>0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6"/>
    </row>
    <row r="23" spans="2:18" s="1" customFormat="1" ht="15" x14ac:dyDescent="0.2">
      <c r="B23" s="103">
        <f>'Forma de Pago'!C24</f>
        <v>0</v>
      </c>
      <c r="C23" s="96">
        <f>'Forma de Pago'!D24</f>
        <v>0</v>
      </c>
      <c r="D23" s="80">
        <f>'Forma de Pago'!G24</f>
        <v>0</v>
      </c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6"/>
    </row>
    <row r="24" spans="2:18" s="1" customFormat="1" ht="15" x14ac:dyDescent="0.2">
      <c r="B24" s="103">
        <f>'Forma de Pago'!C25</f>
        <v>0</v>
      </c>
      <c r="C24" s="96">
        <f>'Forma de Pago'!D25</f>
        <v>0</v>
      </c>
      <c r="D24" s="80">
        <f>'Forma de Pago'!G25</f>
        <v>0</v>
      </c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6"/>
    </row>
    <row r="25" spans="2:18" s="1" customFormat="1" ht="15" x14ac:dyDescent="0.2">
      <c r="B25" s="103" t="str">
        <f>'Forma de Pago'!C26</f>
        <v>TRANSPORTES</v>
      </c>
      <c r="C25" s="96">
        <f>'Forma de Pago'!D26</f>
        <v>0</v>
      </c>
      <c r="D25" s="80">
        <f>'Forma de Pago'!G26</f>
        <v>0</v>
      </c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6"/>
    </row>
    <row r="26" spans="2:18" s="1" customFormat="1" ht="15" x14ac:dyDescent="0.2">
      <c r="B26" s="103">
        <f>'Forma de Pago'!C27</f>
        <v>0</v>
      </c>
      <c r="C26" s="96">
        <f>'Forma de Pago'!D27</f>
        <v>0</v>
      </c>
      <c r="D26" s="80">
        <f>'Forma de Pago'!G27</f>
        <v>0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6"/>
    </row>
    <row r="27" spans="2:18" ht="15" x14ac:dyDescent="0.2">
      <c r="B27" s="103">
        <f>'Forma de Pago'!C28</f>
        <v>0</v>
      </c>
      <c r="C27" s="96">
        <f>'Forma de Pago'!D28</f>
        <v>0</v>
      </c>
      <c r="D27" s="80">
        <f>'Forma de Pago'!G28</f>
        <v>0</v>
      </c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10"/>
    </row>
    <row r="28" spans="2:18" ht="12" x14ac:dyDescent="0.2">
      <c r="B28" s="8"/>
      <c r="C28" s="8"/>
      <c r="D28" s="8"/>
      <c r="E28" s="8"/>
      <c r="F28" s="8"/>
      <c r="G28" s="8"/>
      <c r="H28" s="8"/>
      <c r="I28" s="8"/>
      <c r="J28" s="8"/>
      <c r="K28" s="9"/>
      <c r="L28" s="9"/>
      <c r="M28" s="9"/>
      <c r="N28" s="9"/>
      <c r="O28" s="9"/>
      <c r="P28" s="9"/>
      <c r="Q28" s="10"/>
    </row>
    <row r="29" spans="2:18" ht="15" x14ac:dyDescent="0.2">
      <c r="B29" s="98" t="s">
        <v>12</v>
      </c>
      <c r="C29" s="98"/>
      <c r="D29" s="79">
        <f>SUM(D18:D28)</f>
        <v>0</v>
      </c>
      <c r="E29" s="8"/>
      <c r="F29" s="8"/>
      <c r="G29" s="8"/>
      <c r="H29" s="8"/>
      <c r="I29" s="8"/>
      <c r="J29" s="8"/>
      <c r="K29" s="9"/>
      <c r="L29" s="9"/>
      <c r="M29" s="9"/>
      <c r="N29" s="9"/>
      <c r="O29" s="9"/>
      <c r="P29" s="9"/>
      <c r="Q29" s="10"/>
    </row>
    <row r="30" spans="2:18" ht="15" x14ac:dyDescent="0.2">
      <c r="E30" s="79">
        <f t="shared" ref="E30:P30" si="2">SUM(E5:E27)</f>
        <v>0</v>
      </c>
      <c r="F30" s="79">
        <f t="shared" si="2"/>
        <v>0</v>
      </c>
      <c r="G30" s="79">
        <f t="shared" si="2"/>
        <v>0</v>
      </c>
      <c r="H30" s="79">
        <f t="shared" si="2"/>
        <v>0</v>
      </c>
      <c r="I30" s="79">
        <f t="shared" si="2"/>
        <v>0</v>
      </c>
      <c r="J30" s="79">
        <f t="shared" si="2"/>
        <v>0</v>
      </c>
      <c r="K30" s="79">
        <f t="shared" si="2"/>
        <v>0</v>
      </c>
      <c r="L30" s="79">
        <f t="shared" si="2"/>
        <v>0</v>
      </c>
      <c r="M30" s="79">
        <f t="shared" si="2"/>
        <v>0</v>
      </c>
      <c r="N30" s="79">
        <f t="shared" si="2"/>
        <v>0</v>
      </c>
      <c r="O30" s="79">
        <f t="shared" si="2"/>
        <v>0</v>
      </c>
      <c r="P30" s="79">
        <f t="shared" si="2"/>
        <v>0</v>
      </c>
      <c r="Q30" s="17"/>
      <c r="R30" s="16"/>
    </row>
    <row r="31" spans="2:18" x14ac:dyDescent="0.2">
      <c r="I31" s="13"/>
      <c r="J31" s="13"/>
      <c r="K31" s="13"/>
      <c r="L31" s="13"/>
      <c r="M31" s="13"/>
    </row>
    <row r="32" spans="2:18" ht="28.5" customHeight="1" x14ac:dyDescent="0.2">
      <c r="B32" s="130" t="s">
        <v>57</v>
      </c>
      <c r="C32" s="130"/>
      <c r="D32" s="131"/>
      <c r="E32" s="97">
        <f>SUM($E$30:E30)</f>
        <v>0</v>
      </c>
      <c r="F32" s="79">
        <f>SUM($E$30:F30)</f>
        <v>0</v>
      </c>
      <c r="G32" s="97">
        <f>SUM($E$30:G30)</f>
        <v>0</v>
      </c>
      <c r="H32" s="97">
        <f>SUM($E$30:H30)</f>
        <v>0</v>
      </c>
      <c r="I32" s="97">
        <f>SUM($E$30:I30)</f>
        <v>0</v>
      </c>
      <c r="J32" s="97">
        <f>SUM($E$30:J30)</f>
        <v>0</v>
      </c>
      <c r="K32" s="97">
        <f>SUM($E$30:K30)</f>
        <v>0</v>
      </c>
      <c r="L32" s="97">
        <f>SUM($E$30:L30)</f>
        <v>0</v>
      </c>
      <c r="M32" s="97">
        <f>SUM($E$30:M30)</f>
        <v>0</v>
      </c>
      <c r="N32" s="97">
        <f>SUM($E$30:N30)</f>
        <v>0</v>
      </c>
      <c r="O32" s="97">
        <f>SUM($E$30:O30)</f>
        <v>0</v>
      </c>
      <c r="P32" s="97">
        <f>SUM($E$30:P30)</f>
        <v>0</v>
      </c>
    </row>
    <row r="33" spans="2:13" x14ac:dyDescent="0.2">
      <c r="I33" s="13"/>
      <c r="J33" s="13"/>
      <c r="K33" s="13"/>
      <c r="L33" s="13"/>
      <c r="M33" s="13"/>
    </row>
    <row r="34" spans="2:13" x14ac:dyDescent="0.2">
      <c r="I34" s="13"/>
      <c r="J34" s="13"/>
      <c r="K34" s="13"/>
      <c r="L34" s="13"/>
      <c r="M34" s="13"/>
    </row>
    <row r="35" spans="2:13" x14ac:dyDescent="0.2">
      <c r="I35" s="13"/>
      <c r="J35" s="13"/>
      <c r="K35" s="13"/>
      <c r="L35" s="13"/>
      <c r="M35" s="13"/>
    </row>
    <row r="36" spans="2:13" x14ac:dyDescent="0.2">
      <c r="B36" s="92" t="s">
        <v>53</v>
      </c>
      <c r="C36" s="92"/>
      <c r="D36" s="11" t="s">
        <v>54</v>
      </c>
      <c r="I36" s="13"/>
      <c r="J36" s="13"/>
      <c r="K36" s="13"/>
      <c r="L36" s="13"/>
      <c r="M36" s="13"/>
    </row>
    <row r="37" spans="2:13" x14ac:dyDescent="0.2">
      <c r="B37" s="92">
        <v>0</v>
      </c>
      <c r="C37" s="92"/>
      <c r="I37" s="13"/>
      <c r="J37" s="13"/>
      <c r="K37" s="13"/>
      <c r="L37" s="13"/>
      <c r="M37" s="13"/>
    </row>
    <row r="38" spans="2:13" x14ac:dyDescent="0.2">
      <c r="B38" s="92">
        <v>1</v>
      </c>
      <c r="C38" s="92"/>
      <c r="I38" s="13"/>
      <c r="J38" s="13"/>
      <c r="K38" s="13"/>
      <c r="L38" s="13"/>
      <c r="M38" s="13"/>
    </row>
    <row r="39" spans="2:13" x14ac:dyDescent="0.2">
      <c r="B39" s="92">
        <v>2</v>
      </c>
      <c r="C39" s="92"/>
      <c r="I39" s="13"/>
      <c r="J39" s="13"/>
      <c r="K39" s="13"/>
      <c r="L39" s="13"/>
      <c r="M39" s="13"/>
    </row>
    <row r="40" spans="2:13" x14ac:dyDescent="0.2">
      <c r="B40" s="92">
        <v>3</v>
      </c>
      <c r="C40" s="92"/>
      <c r="I40" s="13"/>
      <c r="J40" s="13"/>
      <c r="K40" s="13"/>
      <c r="L40" s="13"/>
      <c r="M40" s="13"/>
    </row>
    <row r="41" spans="2:13" x14ac:dyDescent="0.2">
      <c r="B41" s="92">
        <v>4</v>
      </c>
      <c r="C41" s="92"/>
      <c r="I41" s="13"/>
      <c r="J41" s="13"/>
      <c r="K41" s="13"/>
      <c r="L41" s="13"/>
      <c r="M41" s="13"/>
    </row>
    <row r="42" spans="2:13" x14ac:dyDescent="0.2">
      <c r="B42" s="92">
        <v>5</v>
      </c>
      <c r="C42" s="92"/>
    </row>
  </sheetData>
  <dataConsolidate/>
  <mergeCells count="4">
    <mergeCell ref="B1:K1"/>
    <mergeCell ref="B3:K3"/>
    <mergeCell ref="B16:K16"/>
    <mergeCell ref="B32:D32"/>
  </mergeCells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Gráficos</vt:lpstr>
      </vt:variant>
      <vt:variant>
        <vt:i4>2</vt:i4>
      </vt:variant>
    </vt:vector>
  </HeadingPairs>
  <TitlesOfParts>
    <vt:vector size="6" baseType="lpstr">
      <vt:lpstr>Principal</vt:lpstr>
      <vt:lpstr>Forma de Pago</vt:lpstr>
      <vt:lpstr>Cash Flow (Previsto)</vt:lpstr>
      <vt:lpstr>Cash Flow (Actual)</vt:lpstr>
      <vt:lpstr>Gráfico Cash Flow (Previsto)</vt:lpstr>
      <vt:lpstr>Gráfico Cash Flow (Actual)</vt:lpstr>
    </vt:vector>
  </TitlesOfParts>
  <Company>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Gestión del valor ganado</dc:title>
  <dc:creator>Planilla Excel</dc:creator>
  <cp:lastModifiedBy>Simon Allan</cp:lastModifiedBy>
  <cp:lastPrinted>2020-11-04T08:14:12Z</cp:lastPrinted>
  <dcterms:created xsi:type="dcterms:W3CDTF">2006-01-10T14:51:08Z</dcterms:created>
  <dcterms:modified xsi:type="dcterms:W3CDTF">2020-11-05T12:26:03Z</dcterms:modified>
</cp:coreProperties>
</file>